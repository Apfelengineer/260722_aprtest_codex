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42ddcf898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ダッシュボード" sheetId="1" r:id="R20ec6a68a7e04f26"/>
    <x:sheet xmlns:r="http://schemas.openxmlformats.org/officeDocument/2006/relationships" name="京都府_産業一覧" sheetId="2" r:id="Rda07bdf8d8a94783"/>
    <x:sheet xmlns:r="http://schemas.openxmlformats.org/officeDocument/2006/relationships" name="都道府県別_事業所数" sheetId="3" r:id="R9474b9e8479642b8"/>
    <x:sheet xmlns:r="http://schemas.openxmlformats.org/officeDocument/2006/relationships" name="都道府県別_従業者数" sheetId="4" r:id="R1073af37c6324078"/>
    <x:sheet xmlns:r="http://schemas.openxmlformats.org/officeDocument/2006/relationships" name="出典・定義" sheetId="5" r:id="R6b67c89b6840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0"/>
    <x:numFmt numFmtId="203" formatCode="0.00%"/>
    <x:numFmt numFmtId="204" formatCode="0.0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0"/>
      <x:color rgb="FF667085"/>
      <x:name val="Carlito"/>
    </x:font>
    <x:font>
      <x:b/>
      <x:sz val="18"/>
      <x:color rgb="FFFFFFFF"/>
      <x:name val="Yu Gothic"/>
    </x:font>
    <x:font>
      <x:sz val="11"/>
      <x:name val="Yu Gothic"/>
    </x:font>
    <x:font>
      <x:i/>
      <x:sz val="10"/>
      <x:color rgb="FF667085"/>
      <x:name val="Yu Gothic"/>
    </x:font>
    <x:font>
      <x:b/>
      <x:sz val="11"/>
      <x:color rgb="FFFFFFFF"/>
      <x:name val="Yu Gothic"/>
    </x:font>
    <x:font>
      <x:b/>
      <x:sz val="11"/>
      <x:color rgb="FF17365D"/>
      <x:name val="Yu Gothic"/>
    </x:font>
    <x:font>
      <x:sz val="10"/>
      <x:color rgb="FF667085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19">
    <x:border/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4" xfId="0" applyNumberFormat="1" applyFont="1" applyFill="1" applyBorder="1"/>
    <x:xf numFmtId="204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3" fontId="0" fillId="0" borderId="6" xfId="0" applyNumberFormat="1" applyFont="1" applyFill="1" applyBorder="1"/>
    <x:xf numFmtId="204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3" fontId="0" fillId="0" borderId="9" xfId="0" applyNumberFormat="1" applyFont="1" applyFill="1" applyBorder="1"/>
    <x:xf numFmtId="204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0" fontId="4" fillId="4" borderId="10" xfId="0" applyNumberFormat="1" applyFont="1" applyFill="1" applyBorder="1"/>
    <x:xf numFmtId="0" fontId="4" fillId="4" borderId="13" xfId="0" applyNumberFormat="1" applyFont="1" applyFill="1" applyBorder="1"/>
    <x:xf numFmtId="0" fontId="4" fillId="4" borderId="1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9" fillId="3" borderId="2" xfId="0" applyNumberFormat="1" applyFont="1" applyFill="1" applyBorder="1" applyAlignment="1">
      <x:alignment horizontal="center"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10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10" fillId="4" borderId="13" xfId="0" applyNumberFormat="1" applyFont="1" applyFill="1" applyBorder="1"/>
    <x:xf numFmtId="0" fontId="7" fillId="4" borderId="14" xfId="0" applyNumberFormat="1" applyFont="1" applyFill="1" applyBorder="1"/>
    <x:xf numFmtId="0" fontId="7" fillId="4" borderId="15" xfId="0" applyNumberFormat="1" applyFont="1" applyFill="1" applyBorder="1"/>
    <x:xf numFmtId="0" fontId="10" fillId="4" borderId="16" xfId="0" applyNumberFormat="1" applyFont="1" applyFill="1" applyBorder="1"/>
    <x:xf numFmtId="0" fontId="7" fillId="4" borderId="17" xfId="0" applyNumberFormat="1" applyFont="1" applyFill="1" applyBorder="1"/>
    <x:xf numFmtId="0" fontId="7" fillId="4" borderId="18" xfId="0" applyNumberFormat="1" applyFont="1" applyFill="1" applyBorder="1"/>
    <x:xf numFmtId="0" fontId="7" fillId="0" borderId="4" xfId="0" applyNumberFormat="1" applyFont="1" applyFill="1" applyBorder="1"/>
    <x:xf numFmtId="200" fontId="7" fillId="0" borderId="4" xfId="0" applyNumberFormat="1" applyFont="1" applyFill="1" applyBorder="1"/>
    <x:xf numFmtId="204" fontId="7" fillId="0" borderId="4" xfId="0" applyNumberFormat="1" applyFont="1" applyFill="1" applyBorder="1"/>
    <x:xf numFmtId="0" fontId="7" fillId="0" borderId="5" xfId="0" applyNumberFormat="1" applyFont="1" applyFill="1" applyBorder="1"/>
    <x:xf numFmtId="200" fontId="7" fillId="0" borderId="5" xfId="0" applyNumberFormat="1" applyFont="1" applyFill="1" applyBorder="1"/>
    <x:xf numFmtId="204" fontId="7" fillId="0" borderId="5" xfId="0" applyNumberFormat="1" applyFont="1" applyFill="1" applyBorder="1"/>
    <x:xf numFmtId="0" fontId="7" fillId="0" borderId="6" xfId="0" applyNumberFormat="1" applyFont="1" applyFill="1" applyBorder="1"/>
    <x:xf numFmtId="200" fontId="7" fillId="0" borderId="6" xfId="0" applyNumberFormat="1" applyFont="1" applyFill="1" applyBorder="1"/>
    <x:xf numFmtId="204" fontId="7" fillId="0" borderId="6" xfId="0" applyNumberFormat="1" applyFont="1" applyFill="1" applyBorder="1"/>
    <x:xf numFmtId="0" fontId="11" fillId="5" borderId="0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/>
    <x:xf numFmtId="200" fontId="7" fillId="0" borderId="7" xfId="0" applyNumberFormat="1" applyFont="1" applyFill="1" applyBorder="1"/>
    <x:xf numFmtId="201" fontId="7" fillId="0" borderId="7" xfId="0" applyNumberFormat="1" applyFont="1" applyFill="1" applyBorder="1"/>
    <x:xf numFmtId="203" fontId="7" fillId="0" borderId="7" xfId="0" applyNumberFormat="1" applyFont="1" applyFill="1" applyBorder="1"/>
    <x:xf numFmtId="204" fontId="7" fillId="0" borderId="7" xfId="0" applyNumberFormat="1" applyFont="1" applyFill="1" applyBorder="1"/>
    <x:xf numFmtId="0" fontId="7" fillId="0" borderId="8" xfId="0" applyNumberFormat="1" applyFont="1" applyFill="1" applyBorder="1"/>
    <x:xf numFmtId="200" fontId="7" fillId="0" borderId="8" xfId="0" applyNumberFormat="1" applyFont="1" applyFill="1" applyBorder="1"/>
    <x:xf numFmtId="201" fontId="7" fillId="0" borderId="8" xfId="0" applyNumberFormat="1" applyFont="1" applyFill="1" applyBorder="1"/>
    <x:xf numFmtId="203" fontId="7" fillId="0" borderId="8" xfId="0" applyNumberFormat="1" applyFont="1" applyFill="1" applyBorder="1"/>
    <x:xf numFmtId="204" fontId="7" fillId="0" borderId="8" xfId="0" applyNumberFormat="1" applyFont="1" applyFill="1" applyBorder="1"/>
    <x:xf numFmtId="0" fontId="7" fillId="0" borderId="9" xfId="0" applyNumberFormat="1" applyFont="1" applyFill="1" applyBorder="1"/>
    <x:xf numFmtId="200" fontId="7" fillId="0" borderId="9" xfId="0" applyNumberFormat="1" applyFont="1" applyFill="1" applyBorder="1"/>
    <x:xf numFmtId="201" fontId="7" fillId="0" borderId="9" xfId="0" applyNumberFormat="1" applyFont="1" applyFill="1" applyBorder="1"/>
    <x:xf numFmtId="203" fontId="7" fillId="0" borderId="9" xfId="0" applyNumberFormat="1" applyFont="1" applyFill="1" applyBorder="1"/>
    <x:xf numFmtId="204" fontId="7" fillId="0" borderId="9" xfId="0" applyNumberFormat="1" applyFont="1" applyFill="1" applyBorder="1"/>
    <x:xf numFmtId="201" fontId="7" fillId="0" borderId="4" xfId="0" applyNumberFormat="1" applyFont="1" applyFill="1" applyBorder="1"/>
    <x:xf numFmtId="202" fontId="7" fillId="0" borderId="4" xfId="0" applyNumberFormat="1" applyFont="1" applyFill="1" applyBorder="1"/>
    <x:xf numFmtId="203" fontId="7" fillId="0" borderId="4" xfId="0" applyNumberFormat="1" applyFont="1" applyFill="1" applyBorder="1"/>
    <x:xf numFmtId="201" fontId="7" fillId="0" borderId="5" xfId="0" applyNumberFormat="1" applyFont="1" applyFill="1" applyBorder="1"/>
    <x:xf numFmtId="202" fontId="7" fillId="0" borderId="5" xfId="0" applyNumberFormat="1" applyFont="1" applyFill="1" applyBorder="1"/>
    <x:xf numFmtId="203" fontId="7" fillId="0" borderId="5" xfId="0" applyNumberFormat="1" applyFont="1" applyFill="1" applyBorder="1"/>
    <x:xf numFmtId="201" fontId="7" fillId="0" borderId="6" xfId="0" applyNumberFormat="1" applyFont="1" applyFill="1" applyBorder="1"/>
    <x:xf numFmtId="202" fontId="7" fillId="0" borderId="6" xfId="0" applyNumberFormat="1" applyFont="1" applyFill="1" applyBorder="1"/>
    <x:xf numFmtId="203" fontId="7" fillId="0" borderId="6" xfId="0" applyNumberFormat="1" applyFont="1" applyFill="1" applyBorder="1"/>
    <x:xf numFmtId="0" fontId="10" fillId="6" borderId="7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10" fillId="6" borderId="8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0" fontId="10" fillId="6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ca0bc27a945b0" /><Relationship Type="http://schemas.openxmlformats.org/officeDocument/2006/relationships/theme" Target="/xl/theme/theme1.xml" Id="R1a2f313758394eea" /><Relationship Type="http://schemas.openxmlformats.org/officeDocument/2006/relationships/sharedStrings" Target="/xl/sharedStrings.xml" Id="Rf53c4f5acd2148c2" /><Relationship Type="http://schemas.openxmlformats.org/officeDocument/2006/relationships/worksheet" Target="/xl/worksheets/sheet1.xml" Id="R20ec6a68a7e04f26" /><Relationship Type="http://schemas.openxmlformats.org/officeDocument/2006/relationships/worksheet" Target="/xl/worksheets/sheet2.xml" Id="Rda07bdf8d8a94783" /><Relationship Type="http://schemas.openxmlformats.org/officeDocument/2006/relationships/worksheet" Target="/xl/worksheets/sheet3.xml" Id="R9474b9e8479642b8" /><Relationship Type="http://schemas.openxmlformats.org/officeDocument/2006/relationships/worksheet" Target="/xl/worksheets/sheet4.xml" Id="R1073af37c6324078" /><Relationship Type="http://schemas.openxmlformats.org/officeDocument/2006/relationships/worksheet" Target="/xl/worksheets/sheet5.xml" Id="R6b67c89b68404d18" /></Relationships>
</file>

<file path=xl/tables/table1.xml><?xml version="1.0" encoding="utf-8"?>
<x:table xmlns:x="http://schemas.openxmlformats.org/spreadsheetml/2006/main" id="1" name="EstablishmentTable" displayName="EstablishmentTable" ref="A3:J802" headerRowCount="1" totalsRowCount="0" totalsRowShown="0">
  <x:tableColumns count="10">
    <x:tableColumn id="1" name="都道府県"/>
    <x:tableColumn id="2" name="産業コード"/>
    <x:tableColumn id="3" name="産業大分類"/>
    <x:tableColumn id="4" name="事業所数"/>
    <x:tableColumn id="5" name="全国順位"/>
    <x:tableColumn id="6" name="人口（2020）"/>
    <x:tableColumn id="7" name="人口10万人当たり"/>
    <x:tableColumn id="8" name="人口比順位"/>
    <x:tableColumn id="9" name="全国シェア"/>
    <x:tableColumn id="10" name="LQ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Table" displayName="EmployeeTable" ref="A3:J802" headerRowCount="1" totalsRowCount="0" totalsRowShown="0">
  <x:tableColumns count="10">
    <x:tableColumn id="1" name="都道府県"/>
    <x:tableColumn id="2" name="産業コード"/>
    <x:tableColumn id="3" name="産業大分類"/>
    <x:tableColumn id="4" name="従業者数"/>
    <x:tableColumn id="5" name="全国順位"/>
    <x:tableColumn id="6" name="人口（2020）"/>
    <x:tableColumn id="7" name="人口1万人当たり"/>
    <x:tableColumn id="8" name="人口比順位"/>
    <x:tableColumn id="9" name="全国シェア"/>
    <x:tableColumn id="10" name="LQ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5f836e2e6424f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2e56f79a14943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25" hidden="0" customWidth="1"/>
  </x:cols>
  <x:sheetData>
    <x:row r="1" ht="34" customHeight="1">
      <x:c r="A1" s="83" t="str">
        <x:v>京都府 産業集積ダッシュボード</x:v>
      </x:c>
      <x:c r="B1" s="84"/>
      <x:c r="C1" s="84"/>
      <x:c r="D1" s="84"/>
      <x:c r="E1" s="84"/>
      <x:c r="F1" s="84"/>
      <x:c r="G1" s="84"/>
      <x:c r="H1" s="84"/>
    </x:row>
    <x:row r="2" ht="28" customHeight="1">
      <x:c r="A2" s="85" t="str">
        <x:v>事業所・雇用の規模と集積度を、全国比較と人口規模を考慮して確認できます。</x:v>
      </x:c>
      <x:c r="B2" s="84"/>
      <x:c r="C2" s="84"/>
      <x:c r="D2" s="84"/>
      <x:c r="E2" s="84"/>
      <x:c r="F2" s="84"/>
      <x:c r="G2" s="84"/>
      <x:c r="H2" s="84"/>
    </x:row>
    <x:row r="3">
      <x:c r="A3" s="84"/>
      <x:c r="B3" s="84"/>
      <x:c r="C3" s="84"/>
      <x:c r="D3" s="84"/>
      <x:c r="E3" s="84"/>
      <x:c r="F3" s="84"/>
      <x:c r="G3" s="84"/>
      <x:c r="H3" s="84"/>
    </x:row>
    <x:row r="4" ht="34" customHeight="1">
      <x:c r="A4" s="86" t="str">
        <x:v>指標</x:v>
      </x:c>
      <x:c r="B4" s="87" t="str">
        <x:v>事業所</x:v>
      </x:c>
      <x:c r="C4" s="87" t="str">
        <x:v>従業者</x:v>
      </x:c>
      <x:c r="D4" s="88" t="str">
        <x:v>見方</x:v>
      </x:c>
      <x:c r="E4" s="84"/>
      <x:c r="F4" s="84"/>
      <x:c r="G4" s="84"/>
      <x:c r="H4" s="84"/>
    </x:row>
    <x:row r="5">
      <x:c r="A5" s="89" t="str">
        <x:v>全国トップ10の産業数</x:v>
      </x:c>
      <x:c r="B5" s="90" t="n">
        <x:f>COUNTIF('京都府_産業一覧'!D5:D21,"&lt;=10")</x:f>
        <x:v>1</x:v>
      </x:c>
      <x:c r="C5" s="90" t="n">
        <x:f>COUNTIF('京都府_産業一覧'!J5:J21,"&lt;=10")</x:f>
        <x:v>1</x:v>
      </x:c>
      <x:c r="D5" s="91" t="str">
        <x:v>絶対数順位</x:v>
      </x:c>
      <x:c r="E5" s="84"/>
      <x:c r="F5" s="84"/>
      <x:c r="G5" s="84"/>
      <x:c r="H5" s="84"/>
    </x:row>
    <x:row r="6">
      <x:c r="A6" s="92" t="str">
        <x:v>人口比トップ10の産業数</x:v>
      </x:c>
      <x:c r="B6" s="93" t="n">
        <x:f>COUNTIF('京都府_産業一覧'!F5:F21,"&lt;=10")</x:f>
        <x:v>3</x:v>
      </x:c>
      <x:c r="C6" s="93" t="n">
        <x:f>COUNTIF('京都府_産業一覧'!L5:L21,"&lt;=10")</x:f>
        <x:v>5</x:v>
      </x:c>
      <x:c r="D6" s="94" t="str">
        <x:v>人口規模調整後</x:v>
      </x:c>
      <x:c r="E6" s="84"/>
      <x:c r="F6" s="84"/>
      <x:c r="G6" s="84"/>
      <x:c r="H6" s="84"/>
    </x:row>
    <x:row r="7">
      <x:c r="A7" s="92" t="str">
        <x:v>LQ&gt;1の産業数</x:v>
      </x:c>
      <x:c r="B7" s="93" t="n">
        <x:f>COUNTIF('京都府_産業一覧'!H5:H21,"&gt;1")</x:f>
        <x:v>5</x:v>
      </x:c>
      <x:c r="C7" s="93" t="n">
        <x:f>COUNTIF('京都府_産業一覧'!N5:N21,"&gt;1")</x:f>
        <x:v>6</x:v>
      </x:c>
      <x:c r="D7" s="94" t="str">
        <x:v>全国より構成比が高い</x:v>
      </x:c>
      <x:c r="E7" s="84"/>
      <x:c r="F7" s="84"/>
      <x:c r="G7" s="84"/>
      <x:c r="H7" s="84"/>
    </x:row>
    <x:row r="8">
      <x:c r="A8" s="95" t="str">
        <x:v>最多の産業</x:v>
      </x:c>
      <x:c r="B8" s="96" t="str">
        <x:f>INDEX('京都府_産業一覧'!B5:B21,MATCH(MAX('京都府_産業一覧'!C5:C21),'京都府_産業一覧'!C5:C21,0))</x:f>
        <x:v>卸売業，小売業</x:v>
      </x:c>
      <x:c r="C8" s="96" t="str">
        <x:f>INDEX('京都府_産業一覧'!B5:B21,MATCH(MAX('京都府_産業一覧'!I5:I21),'京都府_産業一覧'!I5:I21,0))</x:f>
        <x:v>卸売業，小売業</x:v>
      </x:c>
      <x:c r="D8" s="97" t="str">
        <x:v>京都府内の最大産業</x:v>
      </x:c>
      <x:c r="E8" s="84"/>
      <x:c r="F8" s="84"/>
      <x:c r="G8" s="84"/>
      <x:c r="H8" s="84"/>
    </x:row>
    <x:row r="9">
      <x:c r="A9" s="84"/>
      <x:c r="B9" s="84"/>
      <x:c r="C9" s="84"/>
      <x:c r="D9" s="84"/>
      <x:c r="E9" s="84"/>
      <x:c r="F9" s="84"/>
      <x:c r="G9" s="84"/>
      <x:c r="H9" s="84"/>
    </x:row>
    <x:row r="10">
      <x:c r="A10" s="84"/>
      <x:c r="B10" s="84"/>
      <x:c r="C10" s="84"/>
      <x:c r="D10" s="84"/>
      <x:c r="E10" s="84"/>
      <x:c r="F10" s="84"/>
      <x:c r="G10" s="84"/>
      <x:c r="H10" s="84"/>
    </x:row>
    <x:row r="11" ht="34" customHeight="1">
      <x:c r="A11" s="86" t="str">
        <x:v>産業大分類</x:v>
      </x:c>
      <x:c r="B11" s="87" t="str">
        <x:v>事業所数</x:v>
      </x:c>
      <x:c r="C11" s="87" t="str">
        <x:v>事業所順位</x:v>
      </x:c>
      <x:c r="D11" s="87" t="str">
        <x:v>事業所LQ</x:v>
      </x:c>
      <x:c r="E11" s="87" t="str">
        <x:v>従業者数</x:v>
      </x:c>
      <x:c r="F11" s="87" t="str">
        <x:v>従業者順位</x:v>
      </x:c>
      <x:c r="G11" s="87" t="str">
        <x:v>従業者LQ</x:v>
      </x:c>
      <x:c r="H11" s="88" t="str">
        <x:v>人口比の特徴</x:v>
      </x:c>
    </x:row>
    <x:row r="12">
      <x:c r="A12" s="98" t="str">
        <x:f>'京都府_産業一覧'!B8</x:f>
        <x:v>製造業</x:v>
      </x:c>
      <x:c r="B12" s="99" t="n">
        <x:f>'京都府_産業一覧'!C8</x:f>
        <x:v>11992</x:v>
      </x:c>
      <x:c r="C12" s="98" t="n">
        <x:f>'京都府_産業一覧'!D8</x:f>
        <x:v>9</x:v>
      </x:c>
      <x:c r="D12" s="100" t="n">
        <x:f>'京都府_産業一覧'!H8</x:f>
        <x:v>1.3553422464205984</x:v>
      </x:c>
      <x:c r="E12" s="99" t="n">
        <x:f>'京都府_産業一覧'!I8</x:f>
        <x:v>180810</x:v>
      </x:c>
      <x:c r="F12" s="98" t="n">
        <x:f>'京都府_産業一覧'!J8</x:f>
        <x:v>19</x:v>
      </x:c>
      <x:c r="G12" s="100" t="n">
        <x:f>'京都府_産業一覧'!N8</x:f>
        <x:v>1.0358673325227647</x:v>
      </x:c>
      <x:c r="H12" s="98" t="str">
        <x:f>"事業所 "&amp;'京都府_産業一覧'!F8&amp;"位 / 従業者 "&amp;'京都府_産業一覧'!L8&amp;"位"</x:f>
        <x:v>事業所 8位 / 従業者 25位</x:v>
      </x:c>
    </x:row>
    <x:row r="13">
      <x:c r="A13" s="101" t="str">
        <x:f>'京都府_産業一覧'!B10</x:f>
        <x:v>情報通信業</x:v>
      </x:c>
      <x:c r="B13" s="102" t="n">
        <x:f>'京都府_産業一覧'!C10</x:f>
        <x:v>1223</x:v>
      </x:c>
      <x:c r="C13" s="101" t="n">
        <x:f>'京都府_産業一覧'!D10</x:f>
        <x:v>12</x:v>
      </x:c>
      <x:c r="D13" s="103" t="n">
        <x:f>'京都府_産業一覧'!H10</x:f>
        <x:v>0.7449629564239575</x:v>
      </x:c>
      <x:c r="E13" s="102" t="n">
        <x:f>'京都府_産業一覧'!I10</x:f>
        <x:v>19435</x:v>
      </x:c>
      <x:c r="F13" s="101" t="n">
        <x:f>'京都府_産業一覧'!J10</x:f>
        <x:v>14</x:v>
      </x:c>
      <x:c r="G13" s="103" t="n">
        <x:f>'京都府_産業一覧'!N10</x:f>
        <x:v>0.4933623257761974</x:v>
      </x:c>
      <x:c r="H13" s="101" t="str">
        <x:f>"事業所 "&amp;'京都府_産業一覧'!F10&amp;"位 / 従業者 "&amp;'京都府_産業一覧'!L10&amp;"位"</x:f>
        <x:v>事業所 10位 / 従業者 11位</x:v>
      </x:c>
    </x:row>
    <x:row r="14">
      <x:c r="A14" s="101" t="str">
        <x:f>'京都府_産業一覧'!B14</x:f>
        <x:v>不動産業，物品賃貸業</x:v>
      </x:c>
      <x:c r="B14" s="102" t="n">
        <x:f>'京都府_産業一覧'!C14</x:f>
        <x:v>8694</x:v>
      </x:c>
      <x:c r="C14" s="101" t="n">
        <x:f>'京都府_産業一覧'!D14</x:f>
        <x:v>12</x:v>
      </x:c>
      <x:c r="D14" s="103" t="n">
        <x:f>'京都府_産業一覧'!H14</x:f>
        <x:v>1.0827378400598706</x:v>
      </x:c>
      <x:c r="E14" s="102" t="n">
        <x:f>'京都府_産業一覧'!I14</x:f>
        <x:v>32654</x:v>
      </x:c>
      <x:c r="F14" s="101" t="n">
        <x:f>'京都府_産業一覧'!J14</x:f>
        <x:v>12</x:v>
      </x:c>
      <x:c r="G14" s="103" t="n">
        <x:f>'京都府_産業一覧'!N14</x:f>
        <x:v>1.0178058566473969</x:v>
      </x:c>
      <x:c r="H14" s="101" t="str">
        <x:f>"事業所 "&amp;'京都府_産業一覧'!F14&amp;"位 / 従業者 "&amp;'京都府_産業一覧'!L14&amp;"位"</x:f>
        <x:v>事業所 5位 / 従業者 5位</x:v>
      </x:c>
    </x:row>
    <x:row r="15">
      <x:c r="A15" s="101" t="str">
        <x:f>'京都府_産業一覧'!B15</x:f>
        <x:v>学術研究，専門・技術サービス業</x:v>
      </x:c>
      <x:c r="B15" s="102" t="n">
        <x:f>'京都府_産業一覧'!C15</x:f>
        <x:v>5094</x:v>
      </x:c>
      <x:c r="C15" s="101" t="n">
        <x:f>'京都府_産業一覧'!D15</x:f>
        <x:v>12</x:v>
      </x:c>
      <x:c r="D15" s="103" t="n">
        <x:f>'京都府_産業一覧'!H15</x:f>
        <x:v>0.9414067649402081</x:v>
      </x:c>
      <x:c r="E15" s="102" t="n">
        <x:f>'京都府_産業一覧'!I15</x:f>
        <x:v>35674</x:v>
      </x:c>
      <x:c r="F15" s="101" t="n">
        <x:f>'京都府_産業一覧'!J15</x:f>
        <x:v>13</x:v>
      </x:c>
      <x:c r="G15" s="103" t="n">
        <x:f>'京都府_産業一覧'!N15</x:f>
        <x:v>0.8491440323705771</x:v>
      </x:c>
      <x:c r="H15" s="101" t="str">
        <x:f>"事業所 "&amp;'京都府_産業一覧'!F15&amp;"位 / 従業者 "&amp;'京都府_産業一覧'!L15&amp;"位"</x:f>
        <x:v>事業所 11位 / 従業者 10位</x:v>
      </x:c>
    </x:row>
    <x:row r="16">
      <x:c r="A16" s="101" t="str">
        <x:f>'京都府_産業一覧'!B18</x:f>
        <x:v>教育，学習支援業</x:v>
      </x:c>
      <x:c r="B16" s="102" t="n">
        <x:f>'京都府_産業一覧'!C18</x:f>
        <x:v>3516</x:v>
      </x:c>
      <x:c r="C16" s="101" t="n">
        <x:f>'京都府_産業一覧'!D18</x:f>
        <x:v>12</x:v>
      </x:c>
      <x:c r="D16" s="103" t="n">
        <x:f>'京都府_産業一覧'!H18</x:f>
        <x:v>1.0037269617815967</x:v>
      </x:c>
      <x:c r="E16" s="102" t="n">
        <x:f>'京都府_産業一覧'!I18</x:f>
        <x:v>67199</x:v>
      </x:c>
      <x:c r="F16" s="101" t="n">
        <x:f>'京都府_産業一覧'!J18</x:f>
        <x:v>9</x:v>
      </x:c>
      <x:c r="G16" s="103" t="n">
        <x:f>'京都府_産業一覧'!N18</x:f>
        <x:v>1.7374362195565582</x:v>
      </x:c>
      <x:c r="H16" s="101" t="str">
        <x:f>"事業所 "&amp;'京都府_産業一覧'!F18&amp;"位 / 従業者 "&amp;'京都府_産業一覧'!L18&amp;"位"</x:f>
        <x:v>事業所 20位 / 従業者 2位</x:v>
      </x:c>
    </x:row>
    <x:row r="17">
      <x:c r="A17" s="101" t="str">
        <x:f>'京都府_産業一覧'!B19</x:f>
        <x:v>医療，福祉</x:v>
      </x:c>
      <x:c r="B17" s="102" t="n">
        <x:f>'京都府_産業一覧'!C19</x:f>
        <x:v>9299</x:v>
      </x:c>
      <x:c r="C17" s="101" t="n">
        <x:f>'京都府_産業一覧'!D19</x:f>
        <x:v>12</x:v>
      </x:c>
      <x:c r="D17" s="103" t="n">
        <x:f>'京都府_産業一覧'!H19</x:f>
        <x:v>0.9375617371989853</x:v>
      </x:c>
      <x:c r="E17" s="102" t="n">
        <x:f>'京都府_産業一覧'!I19</x:f>
        <x:v>176055</x:v>
      </x:c>
      <x:c r="F17" s="101" t="n">
        <x:f>'京都府_産業一覧'!J19</x:f>
        <x:v>12</x:v>
      </x:c>
      <x:c r="G17" s="103" t="n">
        <x:f>'京都府_産業一覧'!N19</x:f>
        <x:v>1.0878642637007678</x:v>
      </x:c>
      <x:c r="H17" s="101" t="str">
        <x:f>"事業所 "&amp;'京都府_産業一覧'!F19&amp;"位 / 従業者 "&amp;'京都府_産業一覧'!L19&amp;"位"</x:f>
        <x:v>事業所 31位 / 従業者 20位</x:v>
      </x:c>
    </x:row>
    <x:row r="18">
      <x:c r="A18" s="101" t="str">
        <x:f>'京都府_産業一覧'!B21</x:f>
        <x:v>サービス業（他に分類されないもの）</x:v>
      </x:c>
      <x:c r="B18" s="102" t="n">
        <x:f>'京都府_産業一覧'!C21</x:f>
        <x:v>8807</x:v>
      </x:c>
      <x:c r="C18" s="101" t="n">
        <x:f>'京都府_産業一覧'!D21</x:f>
        <x:v>12</x:v>
      </x:c>
      <x:c r="D18" s="103" t="n">
        <x:f>'京都府_産業一覧'!H21</x:f>
        <x:v>1.1123889378825254</x:v>
      </x:c>
      <x:c r="E18" s="102" t="n">
        <x:f>'京都府_産業一覧'!I21</x:f>
        <x:v>87818</x:v>
      </x:c>
      <x:c r="F18" s="101" t="n">
        <x:f>'京都府_産業一覧'!J21</x:f>
        <x:v>14</x:v>
      </x:c>
      <x:c r="G18" s="103" t="n">
        <x:f>'京都府_産業一覧'!N21</x:f>
        <x:v>0.8461862731674041</x:v>
      </x:c>
      <x:c r="H18" s="101" t="str">
        <x:f>"事業所 "&amp;'京都府_産業一覧'!F21&amp;"位 / 従業者 "&amp;'京都府_産業一覧'!L21&amp;"位"</x:f>
        <x:v>事業所 19位 / 従業者 24位</x:v>
      </x:c>
    </x:row>
    <x:row r="19">
      <x:c r="A19" s="104" t="str">
        <x:f>'京都府_産業一覧'!B16</x:f>
        <x:v>宿泊業，飲食サービス業</x:v>
      </x:c>
      <x:c r="B19" s="105" t="n">
        <x:f>'京都府_産業一覧'!C16</x:f>
        <x:v>13840</x:v>
      </x:c>
      <x:c r="C19" s="104" t="n">
        <x:f>'京都府_産業一覧'!D16</x:f>
        <x:v>11</x:v>
      </x:c>
      <x:c r="D19" s="106" t="n">
        <x:f>'京都府_産業一覧'!H16</x:f>
        <x:v>1.0773869003978203</x:v>
      </x:c>
      <x:c r="E19" s="105" t="n">
        <x:f>'京都府_産業一覧'!I16</x:f>
        <x:v>115266</x:v>
      </x:c>
      <x:c r="F19" s="104" t="n">
        <x:f>'京都府_産業一覧'!J16</x:f>
        <x:v>11</x:v>
      </x:c>
      <x:c r="G19" s="106" t="n">
        <x:f>'京都府_産業一覧'!N16</x:f>
        <x:v>1.2425575637030914</x:v>
      </x:c>
      <x:c r="H19" s="104" t="str">
        <x:f>"事業所 "&amp;'京都府_産業一覧'!F16&amp;"位 / 従業者 "&amp;'京都府_産業一覧'!L16&amp;"位"</x:f>
        <x:v>事業所 16位 / 従業者 4位</x:v>
      </x:c>
    </x:row>
    <x:row r="20">
      <x:c r="A20" s="84"/>
      <x:c r="B20" s="84"/>
      <x:c r="C20" s="84"/>
      <x:c r="D20" s="84"/>
      <x:c r="E20" s="84"/>
      <x:c r="F20" s="84"/>
      <x:c r="G20" s="84"/>
      <x:c r="H20" s="84"/>
    </x:row>
    <x:row r="21">
      <x:c r="A21" s="84"/>
      <x:c r="B21" s="84"/>
      <x:c r="C21" s="84"/>
      <x:c r="D21" s="84"/>
      <x:c r="E21" s="84"/>
      <x:c r="F21" s="84"/>
      <x:c r="G21" s="84"/>
      <x:c r="H21" s="84"/>
    </x:row>
    <x:row r="22">
      <x:c r="A22" s="107" t="str">
        <x:v>読み方：絶対数順位は産業規模、人口比順位は密度、LQは府内産業構成の特化度を示します。LQは事業所と従業者で別々に算出しています。農林漁業は個人経営を除きます。</x:v>
      </x:c>
      <x:c r="B22" s="84"/>
      <x:c r="C22" s="84"/>
      <x:c r="D22" s="84"/>
      <x:c r="E22" s="84"/>
      <x:c r="F22" s="84"/>
      <x:c r="G22" s="84"/>
      <x:c r="H22" s="84"/>
    </x:row>
  </x:sheetData>
  <x:mergeCells>
    <x:mergeCell ref="A1:P1"/>
    <x:mergeCell ref="A2:P2"/>
    <x:mergeCell ref="A22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8" hidden="0" customWidth="1"/>
    <x:col min="5" max="5" width="18" hidden="0" customWidth="1"/>
    <x:col min="6" max="6" width="12" hidden="0" customWidth="1"/>
    <x:col min="7" max="7" width="13" hidden="0" customWidth="1"/>
    <x:col min="8" max="8" width="11" hidden="0" customWidth="1"/>
    <x:col min="9" max="9" width="13" hidden="0" customWidth="1"/>
    <x:col min="10" max="10" width="8" hidden="0" customWidth="1"/>
    <x:col min="11" max="11" width="18" hidden="0" customWidth="1"/>
    <x:col min="12" max="12" width="12" hidden="0" customWidth="1"/>
    <x:col min="13" max="13" width="13" hidden="0" customWidth="1"/>
    <x:col min="14" max="14" width="11" hidden="0" customWidth="1"/>
  </x:cols>
  <x:sheetData>
    <x:row r="1" ht="34" customHeight="1">
      <x:c r="A1" s="83" t="str">
        <x:v>京都府 産業別事業所数・従業者数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 ht="28" customHeight="1">
      <x:c r="A2" s="85" t="str">
        <x:v>絶対数・人口当たり・全国順位・全国シェア・LQを一表に集約。LQ&gt;1は全国平均より構成比が高いことを示します。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  <x:c r="M3" s="84"/>
      <x:c r="N3" s="84"/>
    </x:row>
    <x:row r="4" ht="34" customHeight="1">
      <x:c r="A4" s="86" t="str">
        <x:v>産業コード</x:v>
      </x:c>
      <x:c r="B4" s="87" t="str">
        <x:v>産業大分類</x:v>
      </x:c>
      <x:c r="C4" s="87" t="str">
        <x:v>事業所数</x:v>
      </x:c>
      <x:c r="D4" s="87" t="str">
        <x:v>順位</x:v>
      </x:c>
      <x:c r="E4" s="87" t="str">
        <x:v>人口10万人当たり</x:v>
      </x:c>
      <x:c r="F4" s="87" t="str">
        <x:v>人口比順位</x:v>
      </x:c>
      <x:c r="G4" s="87" t="str">
        <x:v>全国シェア</x:v>
      </x:c>
      <x:c r="H4" s="87" t="str">
        <x:v>事業所LQ</x:v>
      </x:c>
      <x:c r="I4" s="87" t="str">
        <x:v>従業者数</x:v>
      </x:c>
      <x:c r="J4" s="87" t="str">
        <x:v>順位</x:v>
      </x:c>
      <x:c r="K4" s="87" t="str">
        <x:v>人口1万人当たり</x:v>
      </x:c>
      <x:c r="L4" s="87" t="str">
        <x:v>人口比順位</x:v>
      </x:c>
      <x:c r="M4" s="87" t="str">
        <x:v>全国シェア</x:v>
      </x:c>
      <x:c r="N4" s="88" t="str">
        <x:v>従業者LQ</x:v>
      </x:c>
    </x:row>
    <x:row r="5">
      <x:c r="A5" s="108" t="str">
        <x:v>AB</x:v>
      </x:c>
      <x:c r="B5" s="108" t="str">
        <x:v>農林漁業</x:v>
      </x:c>
      <x:c r="C5" s="109" t="n">
        <x:f>'都道府県別_事業所数'!D429</x:f>
        <x:v>500</x:v>
      </x:c>
      <x:c r="D5" s="108" t="n">
        <x:f>'都道府県別_事業所数'!E429</x:f>
        <x:v>39</x:v>
      </x:c>
      <x:c r="E5" s="110" t="n">
        <x:f>'都道府県別_事業所数'!G429</x:f>
        <x:v>19.39422525306555</x:v>
      </x:c>
      <x:c r="F5" s="108" t="n">
        <x:f>'都道府県別_事業所数'!H429</x:f>
        <x:v>40</x:v>
      </x:c>
      <x:c r="G5" s="111" t="n">
        <x:f>'都道府県別_事業所数'!I429</x:f>
        <x:v>0.011776343680813981</x:v>
      </x:c>
      <x:c r="H5" s="112" t="n">
        <x:f>'都道府県別_事業所数'!J429</x:f>
        <x:v>0.5491802931146555</x:v>
      </x:c>
      <x:c r="I5" s="109" t="n">
        <x:f>'都道府県別_従業者数'!D429</x:f>
        <x:v>6251</x:v>
      </x:c>
      <x:c r="J5" s="108" t="n">
        <x:f>'都道府県別_従業者数'!E429</x:f>
        <x:v>35</x:v>
      </x:c>
      <x:c r="K5" s="110" t="n">
        <x:f>'都道府県別_従業者数'!G429</x:f>
        <x:v>24.24666041138255</x:v>
      </x:c>
      <x:c r="L5" s="108" t="n">
        <x:f>'都道府県別_従業者数'!H429</x:f>
        <x:v>38</x:v>
      </x:c>
      <x:c r="M5" s="111" t="n">
        <x:f>'都道府県別_従業者数'!I429</x:f>
        <x:v>0.013777735655263466</x:v>
      </x:c>
      <x:c r="N5" s="112" t="n">
        <x:f>'都道府県別_従業者数'!J429</x:f>
        <x:v>0.6948994404684083</x:v>
      </x:c>
    </x:row>
    <x:row r="6">
      <x:c r="A6" s="113" t="str">
        <x:v>C</x:v>
      </x:c>
      <x:c r="B6" s="113" t="str">
        <x:v>鉱業，採石業，砂利採取業</x:v>
      </x:c>
      <x:c r="C6" s="114" t="n">
        <x:f>'都道府県別_事業所数'!D430</x:f>
        <x:v>23</x:v>
      </x:c>
      <x:c r="D6" s="113" t="n">
        <x:f>'都道府県別_事業所数'!E430</x:f>
        <x:v>35</x:v>
      </x:c>
      <x:c r="E6" s="115" t="n">
        <x:f>'都道府県別_事業所数'!G430</x:f>
        <x:v>0.8921343616410151</x:v>
      </x:c>
      <x:c r="F6" s="113" t="n">
        <x:f>'都道府県別_事業所数'!H430</x:f>
        <x:v>38</x:v>
      </x:c>
      <x:c r="G6" s="116" t="n">
        <x:f>'都道府県別_事業所数'!I430</x:f>
        <x:v>0.012332439678284183</x:v>
      </x:c>
      <x:c r="H6" s="117" t="n">
        <x:f>'都道府県別_事業所数'!J430</x:f>
        <x:v>0.5751133816154714</x:v>
      </x:c>
      <x:c r="I6" s="114" t="n">
        <x:f>'都道府県別_従業者数'!D430</x:f>
        <x:v>157</x:v>
      </x:c>
      <x:c r="J6" s="113" t="n">
        <x:f>'都道府県別_従業者数'!E430</x:f>
        <x:v>38</x:v>
      </x:c>
      <x:c r="K6" s="115" t="n">
        <x:f>'都道府県別_従業者数'!G430</x:f>
        <x:v>0.6089786729462582</x:v>
      </x:c>
      <x:c r="L6" s="113" t="n">
        <x:f>'都道府県別_従業者数'!H430</x:f>
        <x:v>41</x:v>
      </x:c>
      <x:c r="M6" s="116" t="n">
        <x:f>'都道府県別_従業者数'!I430</x:f>
        <x:v>0.007970756968066203</x:v>
      </x:c>
      <x:c r="N6" s="117" t="n">
        <x:f>'都道府県別_従業者数'!J430</x:f>
        <x:v>0.40201631790655473</x:v>
      </x:c>
    </x:row>
    <x:row r="7">
      <x:c r="A7" s="113" t="str">
        <x:v>D</x:v>
      </x:c>
      <x:c r="B7" s="113" t="str">
        <x:v>建設業</x:v>
      </x:c>
      <x:c r="C7" s="114" t="n">
        <x:f>'都道府県別_事業所数'!D431</x:f>
        <x:v>8588</x:v>
      </x:c>
      <x:c r="D7" s="113" t="n">
        <x:f>'都道府県別_事業所数'!E431</x:f>
        <x:v>20</x:v>
      </x:c>
      <x:c r="E7" s="115" t="n">
        <x:f>'都道府県別_事業所数'!G431</x:f>
        <x:v>333.11521294665386</x:v>
      </x:c>
      <x:c r="F7" s="113" t="n">
        <x:f>'都道府県別_事業所数'!H431</x:f>
        <x:v>40</x:v>
      </x:c>
      <x:c r="G7" s="116" t="n">
        <x:f>'都道府県別_事業所数'!I431</x:f>
        <x:v>0.01770228905356241</x:v>
      </x:c>
      <x:c r="H7" s="117" t="n">
        <x:f>'都道府県別_事業所数'!J431</x:f>
        <x:v>0.8255319778985759</x:v>
      </x:c>
      <x:c r="I7" s="114" t="n">
        <x:f>'都道府県別_従業者数'!D431</x:f>
        <x:v>52159</x:v>
      </x:c>
      <x:c r="J7" s="113" t="n">
        <x:f>'都道府県別_従業者数'!E431</x:f>
        <x:v>22</x:v>
      </x:c>
      <x:c r="K7" s="115" t="n">
        <x:f>'都道府県別_従業者数'!G431</x:f>
        <x:v>202.3166789949292</x:v>
      </x:c>
      <x:c r="L7" s="113" t="n">
        <x:f>'都道府県別_従業者数'!H431</x:f>
        <x:v>45</x:v>
      </x:c>
      <x:c r="M7" s="116" t="n">
        <x:f>'都道府県別_従業者数'!I431</x:f>
        <x:v>0.013955902676047483</x:v>
      </x:c>
      <x:c r="N7" s="117" t="n">
        <x:f>'都道府県別_従業者数'!J431</x:f>
        <x:v>0.7038855442920391</x:v>
      </x:c>
    </x:row>
    <x:row r="8">
      <x:c r="A8" s="113" t="str">
        <x:v>E</x:v>
      </x:c>
      <x:c r="B8" s="113" t="str">
        <x:v>製造業</x:v>
      </x:c>
      <x:c r="C8" s="114" t="n">
        <x:f>'都道府県別_事業所数'!D432</x:f>
        <x:v>11992</x:v>
      </x:c>
      <x:c r="D8" s="113" t="n">
        <x:f>'都道府県別_事業所数'!E432</x:f>
        <x:v>9</x:v>
      </x:c>
      <x:c r="E8" s="115" t="n">
        <x:f>'都道府県別_事業所数'!G432</x:f>
        <x:v>465.15109846952413</x:v>
      </x:c>
      <x:c r="F8" s="113" t="n">
        <x:f>'都道府県別_事業所数'!H432</x:f>
        <x:v>8</x:v>
      </x:c>
      <x:c r="G8" s="116" t="n">
        <x:f>'都道府県別_事業所数'!I432</x:f>
        <x:v>0.02906327175080038</x:v>
      </x:c>
      <x:c r="H8" s="117" t="n">
        <x:f>'都道府県別_事業所数'!J432</x:f>
        <x:v>1.3553422464205984</x:v>
      </x:c>
      <x:c r="I8" s="114" t="n">
        <x:f>'都道府県別_従業者数'!D432</x:f>
        <x:v>180810</x:v>
      </x:c>
      <x:c r="J8" s="113" t="n">
        <x:f>'都道府県別_従業者数'!E432</x:f>
        <x:v>19</x:v>
      </x:c>
      <x:c r="K8" s="115" t="n">
        <x:f>'都道府県別_従業者数'!G432</x:f>
        <x:v>701.3339736013563</x:v>
      </x:c>
      <x:c r="L8" s="113" t="n">
        <x:f>'都道府県別_従業者数'!H432</x:f>
        <x:v>25</x:v>
      </x:c>
      <x:c r="M8" s="116" t="n">
        <x:f>'都道府県別_従業者数'!I432</x:f>
        <x:v>0.020538088607182276</x:v>
      </x:c>
      <x:c r="N8" s="117" t="n">
        <x:f>'都道府県別_従業者数'!J432</x:f>
        <x:v>1.0358673325227647</x:v>
      </x:c>
    </x:row>
    <x:row r="9">
      <x:c r="A9" s="113" t="str">
        <x:v>F</x:v>
      </x:c>
      <x:c r="B9" s="113" t="str">
        <x:v>電気・ガス・熱供給・水道業</x:v>
      </x:c>
      <x:c r="C9" s="114" t="n">
        <x:f>'都道府県別_事業所数'!D433</x:f>
        <x:v>90</x:v>
      </x:c>
      <x:c r="D9" s="113" t="n">
        <x:f>'都道府県別_事業所数'!E433</x:f>
        <x:v>37</x:v>
      </x:c>
      <x:c r="E9" s="115" t="n">
        <x:f>'都道府県別_事業所数'!G433</x:f>
        <x:v>3.4909605455517982</x:v>
      </x:c>
      <x:c r="F9" s="113" t="n">
        <x:f>'都道府県別_事業所数'!H433</x:f>
        <x:v>45</x:v>
      </x:c>
      <x:c r="G9" s="116" t="n">
        <x:f>'都道府県別_事業所数'!I433</x:f>
        <x:v>0.00984790458474669</x:v>
      </x:c>
      <x:c r="H9" s="117" t="n">
        <x:f>'都道府県別_事業所数'!J433</x:f>
        <x:v>0.4592490906347706</x:v>
      </x:c>
      <x:c r="I9" s="114" t="n">
        <x:f>'都道府県別_従業者数'!D433</x:f>
        <x:v>2287</x:v>
      </x:c>
      <x:c r="J9" s="113" t="n">
        <x:f>'都道府県別_従業者数'!E433</x:f>
        <x:v>24</x:v>
      </x:c>
      <x:c r="K9" s="115" t="n">
        <x:f>'都道府県別_従業者数'!G433</x:f>
        <x:v>8.870918630752183</x:v>
      </x:c>
      <x:c r="L9" s="113" t="n">
        <x:f>'都道府県別_従業者数'!H433</x:f>
        <x:v>42</x:v>
      </x:c>
      <x:c r="M9" s="116" t="n">
        <x:f>'都道府県別_従業者数'!I433</x:f>
        <x:v>0.011313437118165313</x:v>
      </x:c>
      <x:c r="N9" s="117" t="n">
        <x:f>'都道府県別_従業者数'!J433</x:f>
        <x:v>0.5706090840975176</x:v>
      </x:c>
    </x:row>
    <x:row r="10">
      <x:c r="A10" s="113" t="str">
        <x:v>G</x:v>
      </x:c>
      <x:c r="B10" s="113" t="str">
        <x:v>情報通信業</x:v>
      </x:c>
      <x:c r="C10" s="114" t="n">
        <x:f>'都道府県別_事業所数'!D434</x:f>
        <x:v>1223</x:v>
      </x:c>
      <x:c r="D10" s="113" t="n">
        <x:f>'都道府県別_事業所数'!E434</x:f>
        <x:v>12</x:v>
      </x:c>
      <x:c r="E10" s="115" t="n">
        <x:f>'都道府県別_事業所数'!G434</x:f>
        <x:v>47.43827496899833</x:v>
      </x:c>
      <x:c r="F10" s="113" t="n">
        <x:f>'都道府県別_事業所数'!H434</x:f>
        <x:v>10</x:v>
      </x:c>
      <x:c r="G10" s="116" t="n">
        <x:f>'都道府県別_事業所数'!I434</x:f>
        <x:v>0.01597460781880641</x:v>
      </x:c>
      <x:c r="H10" s="117" t="n">
        <x:f>'都道府県別_事業所数'!J434</x:f>
        <x:v>0.7449629564239575</x:v>
      </x:c>
      <x:c r="I10" s="114" t="n">
        <x:f>'都道府県別_従業者数'!D434</x:f>
        <x:v>19435</x:v>
      </x:c>
      <x:c r="J10" s="113" t="n">
        <x:f>'都道府県別_従業者数'!E434</x:f>
        <x:v>14</x:v>
      </x:c>
      <x:c r="K10" s="115" t="n">
        <x:f>'都道府県別_従業者数'!G434</x:f>
        <x:v>75.38535355866578</x:v>
      </x:c>
      <x:c r="L10" s="113" t="n">
        <x:f>'都道府県別_従業者数'!H434</x:f>
        <x:v>11</x:v>
      </x:c>
      <x:c r="M10" s="116" t="n">
        <x:f>'都道府県別_従業者数'!I434</x:f>
        <x:v>0.009781869592855787</x:v>
      </x:c>
      <x:c r="N10" s="117" t="n">
        <x:f>'都道府県別_従業者数'!J434</x:f>
        <x:v>0.4933623257761974</x:v>
      </x:c>
    </x:row>
    <x:row r="11">
      <x:c r="A11" s="113" t="str">
        <x:v>H</x:v>
      </x:c>
      <x:c r="B11" s="113" t="str">
        <x:v>運輸業，郵便業</x:v>
      </x:c>
      <x:c r="C11" s="114" t="n">
        <x:f>'都道府県別_事業所数'!D435</x:f>
        <x:v>2142</x:v>
      </x:c>
      <x:c r="D11" s="113" t="n">
        <x:f>'都道府県別_事業所数'!E435</x:f>
        <x:v>15</x:v>
      </x:c>
      <x:c r="E11" s="115" t="n">
        <x:f>'都道府県別_事業所数'!G435</x:f>
        <x:v>83.0848609841328</x:v>
      </x:c>
      <x:c r="F11" s="113" t="n">
        <x:f>'都道府県別_事業所数'!H435</x:f>
        <x:v>45</x:v>
      </x:c>
      <x:c r="G11" s="116" t="n">
        <x:f>'都道府県別_事業所数'!I435</x:f>
        <x:v>0.01670514100324432</x:v>
      </x:c>
      <x:c r="H11" s="117" t="n">
        <x:f>'都道府県別_事業所数'!J435</x:f>
        <x:v>0.7790307825025409</x:v>
      </x:c>
      <x:c r="I11" s="114" t="n">
        <x:f>'都道府県別_従業者数'!D435</x:f>
        <x:v>57340</x:v>
      </x:c>
      <x:c r="J11" s="113" t="n">
        <x:f>'都道府県別_従業者数'!E435</x:f>
        <x:v>14</x:v>
      </x:c>
      <x:c r="K11" s="115" t="n">
        <x:f>'都道府県別_従業者数'!G435</x:f>
        <x:v>222.41297520215574</x:v>
      </x:c>
      <x:c r="L11" s="113" t="n">
        <x:f>'都道府県別_従業者数'!H435</x:f>
        <x:v>28</x:v>
      </x:c>
      <x:c r="M11" s="116" t="n">
        <x:f>'都道府県別_従業者数'!I435</x:f>
        <x:v>0.01756345233639249</x:v>
      </x:c>
      <x:c r="N11" s="117" t="n">
        <x:f>'都道府県別_従業者数'!J435</x:f>
        <x:v>0.885837376085099</x:v>
      </x:c>
    </x:row>
    <x:row r="12">
      <x:c r="A12" s="113" t="str">
        <x:v>I</x:v>
      </x:c>
      <x:c r="B12" s="113" t="str">
        <x:v>卸売業，小売業</x:v>
      </x:c>
      <x:c r="C12" s="114" t="n">
        <x:f>'都道府県別_事業所数'!D436</x:f>
        <x:v>26212</x:v>
      </x:c>
      <x:c r="D12" s="113" t="n">
        <x:f>'都道府県別_事業所数'!E436</x:f>
        <x:v>13</x:v>
      </x:c>
      <x:c r="E12" s="115" t="n">
        <x:f>'都道府県別_事業所数'!G436</x:f>
        <x:v>1016.7228646667083</x:v>
      </x:c>
      <x:c r="F12" s="113" t="n">
        <x:f>'都道府県別_事業所数'!H436</x:f>
        <x:v>34</x:v>
      </x:c>
      <x:c r="G12" s="116" t="n">
        <x:f>'都道府県別_事業所数'!I436</x:f>
        <x:v>0.021329297269146893</x:v>
      </x:c>
      <x:c r="H12" s="117" t="n">
        <x:f>'都道府県別_事業所数'!J436</x:f>
        <x:v>0.9946745818299748</x:v>
      </x:c>
      <x:c r="I12" s="114" t="n">
        <x:f>'都道府県別_従業者数'!D436</x:f>
        <x:v>239889</x:v>
      </x:c>
      <x:c r="J12" s="113" t="n">
        <x:f>'都道府県別_従業者数'!E436</x:f>
        <x:v>12</x:v>
      </x:c>
      <x:c r="K12" s="115" t="n">
        <x:f>'都道府県別_従業者数'!G436</x:f>
        <x:v>930.4922603465282</x:v>
      </x:c>
      <x:c r="L12" s="113" t="n">
        <x:f>'都道府県別_従業者数'!H436</x:f>
        <x:v>9</x:v>
      </x:c>
      <x:c r="M12" s="116" t="n">
        <x:f>'都道府県別_従業者数'!I436</x:f>
        <x:v>0.02065885033350201</x:v>
      </x:c>
      <x:c r="N12" s="117" t="n">
        <x:f>'都道府県別_従業者数'!J436</x:f>
        <x:v>1.0419581197282461</x:v>
      </x:c>
    </x:row>
    <x:row r="13">
      <x:c r="A13" s="113" t="str">
        <x:v>J</x:v>
      </x:c>
      <x:c r="B13" s="113" t="str">
        <x:v>金融業，保険業</x:v>
      </x:c>
      <x:c r="C13" s="114" t="n">
        <x:f>'都道府県別_事業所数'!D437</x:f>
        <x:v>1541</x:v>
      </x:c>
      <x:c r="D13" s="113" t="n">
        <x:f>'都道府県別_事業所数'!E437</x:f>
        <x:v>14</x:v>
      </x:c>
      <x:c r="E13" s="115" t="n">
        <x:f>'都道府県別_事業所数'!G437</x:f>
        <x:v>59.77300222994802</x:v>
      </x:c>
      <x:c r="F13" s="113" t="n">
        <x:f>'都道府県別_事業所数'!H437</x:f>
        <x:v>39</x:v>
      </x:c>
      <x:c r="G13" s="116" t="n">
        <x:f>'都道府県別_事業所数'!I437</x:f>
        <x:v>0.01837761770738921</x:v>
      </x:c>
      <x:c r="H13" s="117" t="n">
        <x:f>'都道府県別_事業所数'!J437</x:f>
        <x:v>0.8570253851996521</x:v>
      </x:c>
      <x:c r="I13" s="114" t="n">
        <x:f>'都道府県別_従業者数'!D437</x:f>
        <x:v>26772</x:v>
      </x:c>
      <x:c r="J13" s="113" t="n">
        <x:f>'都道府県別_従業者数'!E437</x:f>
        <x:v>12</x:v>
      </x:c>
      <x:c r="K13" s="115" t="n">
        <x:f>'都道府県別_従業者数'!G437</x:f>
        <x:v>103.84443969501417</x:v>
      </x:c>
      <x:c r="L13" s="113" t="n">
        <x:f>'都道府県別_従業者数'!H437</x:f>
        <x:v>16</x:v>
      </x:c>
      <x:c r="M13" s="116" t="n">
        <x:f>'都道府県別_従業者数'!I437</x:f>
        <x:v>0.017914450669014932</x:v>
      </x:c>
      <x:c r="N13" s="117" t="n">
        <x:f>'都道府県別_従業者数'!J437</x:f>
        <x:v>0.9035404697608367</x:v>
      </x:c>
    </x:row>
    <x:row r="14">
      <x:c r="A14" s="113" t="str">
        <x:v>K</x:v>
      </x:c>
      <x:c r="B14" s="113" t="str">
        <x:v>不動産業，物品賃貸業</x:v>
      </x:c>
      <x:c r="C14" s="114" t="n">
        <x:f>'都道府県別_事業所数'!D438</x:f>
        <x:v>8694</x:v>
      </x:c>
      <x:c r="D14" s="113" t="n">
        <x:f>'都道府県別_事業所数'!E438</x:f>
        <x:v>12</x:v>
      </x:c>
      <x:c r="E14" s="115" t="n">
        <x:f>'都道府県別_事業所数'!G438</x:f>
        <x:v>337.22678870030376</x:v>
      </x:c>
      <x:c r="F14" s="113" t="n">
        <x:f>'都道府県別_事業所数'!H438</x:f>
        <x:v>5</x:v>
      </x:c>
      <x:c r="G14" s="116" t="n">
        <x:f>'都道府県別_事業所数'!I438</x:f>
        <x:v>0.02321768111607238</x:v>
      </x:c>
      <x:c r="H14" s="117" t="n">
        <x:f>'都道府県別_事業所数'!J438</x:f>
        <x:v>1.0827378400598706</x:v>
      </x:c>
      <x:c r="I14" s="114" t="n">
        <x:f>'都道府県別_従業者数'!D438</x:f>
        <x:v>32654</x:v>
      </x:c>
      <x:c r="J14" s="113" t="n">
        <x:f>'都道府県別_従業者数'!E438</x:f>
        <x:v>12</x:v>
      </x:c>
      <x:c r="K14" s="115" t="n">
        <x:f>'都道府県別_従業者数'!G438</x:f>
        <x:v>126.65980628272048</x:v>
      </x:c>
      <x:c r="L14" s="113" t="n">
        <x:f>'都道府県別_従業者数'!H438</x:f>
        <x:v>5</x:v>
      </x:c>
      <x:c r="M14" s="116" t="n">
        <x:f>'都道府県別_従業者数'!I438</x:f>
        <x:v>0.020179984649022518</x:v>
      </x:c>
      <x:c r="N14" s="117" t="n">
        <x:f>'都道府県別_従業者数'!J438</x:f>
        <x:v>1.0178058566473969</x:v>
      </x:c>
    </x:row>
    <x:row r="15">
      <x:c r="A15" s="113" t="str">
        <x:v>L</x:v>
      </x:c>
      <x:c r="B15" s="113" t="str">
        <x:v>学術研究，専門・技術サービス業</x:v>
      </x:c>
      <x:c r="C15" s="114" t="n">
        <x:f>'都道府県別_事業所数'!D439</x:f>
        <x:v>5094</x:v>
      </x:c>
      <x:c r="D15" s="113" t="n">
        <x:f>'都道府県別_事業所数'!E439</x:f>
        <x:v>12</x:v>
      </x:c>
      <x:c r="E15" s="115" t="n">
        <x:f>'都道府県別_事業所数'!G439</x:f>
        <x:v>197.5883668782318</x:v>
      </x:c>
      <x:c r="F15" s="113" t="n">
        <x:f>'都道府県別_事業所数'!H439</x:f>
        <x:v>11</x:v>
      </x:c>
      <x:c r="G15" s="116" t="n">
        <x:f>'都道府県別_事業所数'!I439</x:f>
        <x:v>0.020187049219307283</x:v>
      </x:c>
      <x:c r="H15" s="117" t="n">
        <x:f>'都道府県別_事業所数'!J439</x:f>
        <x:v>0.9414067649402081</x:v>
      </x:c>
      <x:c r="I15" s="114" t="n">
        <x:f>'都道府県別_従業者数'!D439</x:f>
        <x:v>35674</x:v>
      </x:c>
      <x:c r="J15" s="113" t="n">
        <x:f>'都道府県別_従業者数'!E439</x:f>
        <x:v>13</x:v>
      </x:c>
      <x:c r="K15" s="115" t="n">
        <x:f>'都道府県別_従業者数'!G439</x:f>
        <x:v>138.37391833557206</x:v>
      </x:c>
      <x:c r="L15" s="113" t="n">
        <x:f>'都道府県別_従業者数'!H439</x:f>
        <x:v>10</x:v>
      </x:c>
      <x:c r="M15" s="116" t="n">
        <x:f>'都道府県別_従業者数'!I439</x:f>
        <x:v>0.01683593528778812</x:v>
      </x:c>
      <x:c r="N15" s="117" t="n">
        <x:f>'都道府県別_従業者数'!J439</x:f>
        <x:v>0.8491440323705771</x:v>
      </x:c>
    </x:row>
    <x:row r="16">
      <x:c r="A16" s="113" t="str">
        <x:v>M</x:v>
      </x:c>
      <x:c r="B16" s="113" t="str">
        <x:v>宿泊業，飲食サービス業</x:v>
      </x:c>
      <x:c r="C16" s="114" t="n">
        <x:f>'都道府県別_事業所数'!D440</x:f>
        <x:v>13840</x:v>
      </x:c>
      <x:c r="D16" s="113" t="n">
        <x:f>'都道府県別_事業所数'!E440</x:f>
        <x:v>11</x:v>
      </x:c>
      <x:c r="E16" s="115" t="n">
        <x:f>'都道府県別_事業所数'!G440</x:f>
        <x:v>536.8321550048544</x:v>
      </x:c>
      <x:c r="F16" s="113" t="n">
        <x:f>'都道府県別_事業所数'!H440</x:f>
        <x:v>16</x:v>
      </x:c>
      <x:c r="G16" s="116" t="n">
        <x:f>'都道府県別_事業所数'!I440</x:f>
        <x:v>0.023102938279765898</x:v>
      </x:c>
      <x:c r="H16" s="117" t="n">
        <x:f>'都道府県別_事業所数'!J440</x:f>
        <x:v>1.0773869003978203</x:v>
      </x:c>
      <x:c r="I16" s="114" t="n">
        <x:f>'都道府県別_従業者数'!D440</x:f>
        <x:v>115266</x:v>
      </x:c>
      <x:c r="J16" s="113" t="n">
        <x:f>'都道府県別_従業者数'!E440</x:f>
        <x:v>11</x:v>
      </x:c>
      <x:c r="K16" s="115" t="n">
        <x:f>'都道府県別_従業者数'!G440</x:f>
        <x:v>447.09895360397076</x:v>
      </x:c>
      <x:c r="L16" s="113" t="n">
        <x:f>'都道府県別_従業者数'!H440</x:f>
        <x:v>4</x:v>
      </x:c>
      <x:c r="M16" s="116" t="n">
        <x:f>'都道府県別_従業者数'!I440</x:f>
        <x:v>0.024636125246567504</x:v>
      </x:c>
      <x:c r="N16" s="117" t="n">
        <x:f>'都道府県別_従業者数'!J440</x:f>
        <x:v>1.2425575637030914</x:v>
      </x:c>
    </x:row>
    <x:row r="17">
      <x:c r="A17" s="113" t="str">
        <x:v>N</x:v>
      </x:c>
      <x:c r="B17" s="113" t="str">
        <x:v>生活関連サービス業，娯楽業</x:v>
      </x:c>
      <x:c r="C17" s="114" t="n">
        <x:f>'都道府県別_事業所数'!D441</x:f>
        <x:v>8422</x:v>
      </x:c>
      <x:c r="D17" s="113" t="n">
        <x:f>'都道府県別_事業所数'!E441</x:f>
        <x:v>14</x:v>
      </x:c>
      <x:c r="E17" s="115" t="n">
        <x:f>'都道府県別_事業所数'!G441</x:f>
        <x:v>326.6763301626361</x:v>
      </x:c>
      <x:c r="F17" s="113" t="n">
        <x:f>'都道府県別_事業所数'!H441</x:f>
        <x:v>38</x:v>
      </x:c>
      <x:c r="G17" s="116" t="n">
        <x:f>'都道府県別_事業所数'!I441</x:f>
        <x:v>0.019396189392665745</x:v>
      </x:c>
      <x:c r="H17" s="117" t="n">
        <x:f>'都道府県別_事業所数'!J441</x:f>
        <x:v>0.9045256545395999</x:v>
      </x:c>
      <x:c r="I17" s="114" t="n">
        <x:f>'都道府県別_従業者数'!D441</x:f>
        <x:v>41805</x:v>
      </x:c>
      <x:c r="J17" s="113" t="n">
        <x:f>'都道府県別_従業者数'!E441</x:f>
        <x:v>13</x:v>
      </x:c>
      <x:c r="K17" s="115" t="n">
        <x:f>'都道府県別_従業者数'!G441</x:f>
        <x:v>162.15511734088105</x:v>
      </x:c>
      <x:c r="L17" s="113" t="n">
        <x:f>'都道府県別_従業者数'!H441</x:f>
        <x:v>32</x:v>
      </x:c>
      <x:c r="M17" s="116" t="n">
        <x:f>'都道府県別_従業者数'!I441</x:f>
        <x:v>0.01921062946806247</x:v>
      </x:c>
      <x:c r="N17" s="117" t="n">
        <x:f>'都道府県別_従業者数'!J441</x:f>
        <x:v>0.9689150672086437</x:v>
      </x:c>
    </x:row>
    <x:row r="18">
      <x:c r="A18" s="113" t="str">
        <x:v>O</x:v>
      </x:c>
      <x:c r="B18" s="113" t="str">
        <x:v>教育，学習支援業</x:v>
      </x:c>
      <x:c r="C18" s="114" t="n">
        <x:f>'都道府県別_事業所数'!D442</x:f>
        <x:v>3516</x:v>
      </x:c>
      <x:c r="D18" s="113" t="n">
        <x:f>'都道府県別_事業所数'!E442</x:f>
        <x:v>12</x:v>
      </x:c>
      <x:c r="E18" s="115" t="n">
        <x:f>'都道府県別_事業所数'!G442</x:f>
        <x:v>136.38019197955694</x:v>
      </x:c>
      <x:c r="F18" s="113" t="n">
        <x:f>'都道府県別_事業所数'!H442</x:f>
        <x:v>20</x:v>
      </x:c>
      <x:c r="G18" s="116" t="n">
        <x:f>'都道府県別_事業所数'!I442</x:f>
        <x:v>0.021523411913783923</x:v>
      </x:c>
      <x:c r="H18" s="117" t="n">
        <x:f>'都道府県別_事業所数'!J442</x:f>
        <x:v>1.0037269617815967</x:v>
      </x:c>
      <x:c r="I18" s="114" t="n">
        <x:f>'都道府県別_従業者数'!D442</x:f>
        <x:v>67199</x:v>
      </x:c>
      <x:c r="J18" s="113" t="n">
        <x:f>'都道府県別_従業者数'!E442</x:f>
        <x:v>9</x:v>
      </x:c>
      <x:c r="K18" s="115" t="n">
        <x:f>'都道府県別_従業者数'!G442</x:f>
        <x:v>260.65450855615035</x:v>
      </x:c>
      <x:c r="L18" s="113" t="n">
        <x:f>'都道府県別_従業者数'!H442</x:f>
        <x:v>2</x:v>
      </x:c>
      <x:c r="M18" s="116" t="n">
        <x:f>'都道府県別_従業者数'!I442</x:f>
        <x:v>0.0344480590382902</x:v>
      </x:c>
      <x:c r="N18" s="117" t="n">
        <x:f>'都道府県別_従業者数'!J442</x:f>
        <x:v>1.7374362195565582</x:v>
      </x:c>
    </x:row>
    <x:row r="19">
      <x:c r="A19" s="113" t="str">
        <x:v>P</x:v>
      </x:c>
      <x:c r="B19" s="113" t="str">
        <x:v>医療，福祉</x:v>
      </x:c>
      <x:c r="C19" s="114" t="n">
        <x:f>'都道府県別_事業所数'!D443</x:f>
        <x:v>9299</x:v>
      </x:c>
      <x:c r="D19" s="113" t="n">
        <x:f>'都道府県別_事業所数'!E443</x:f>
        <x:v>12</x:v>
      </x:c>
      <x:c r="E19" s="115" t="n">
        <x:f>'都道府県別_事業所数'!G443</x:f>
        <x:v>360.6938012565131</x:v>
      </x:c>
      <x:c r="F19" s="113" t="n">
        <x:f>'都道府県別_事業所数'!H443</x:f>
        <x:v>31</x:v>
      </x:c>
      <x:c r="G19" s="116" t="n">
        <x:f>'都道府県別_事業所数'!I443</x:f>
        <x:v>0.02010459839448599</x:v>
      </x:c>
      <x:c r="H19" s="117" t="n">
        <x:f>'都道府県別_事業所数'!J443</x:f>
        <x:v>0.9375617371989853</x:v>
      </x:c>
      <x:c r="I19" s="114" t="n">
        <x:f>'都道府県別_従業者数'!D443</x:f>
        <x:v>176055</x:v>
      </x:c>
      <x:c r="J19" s="113" t="n">
        <x:f>'都道府県別_従業者数'!E443</x:f>
        <x:v>12</x:v>
      </x:c>
      <x:c r="K19" s="115" t="n">
        <x:f>'都道府県別_従業者数'!G443</x:f>
        <x:v>682.8900653856911</x:v>
      </x:c>
      <x:c r="L19" s="113" t="n">
        <x:f>'都道府県別_従業者数'!H443</x:f>
        <x:v>20</x:v>
      </x:c>
      <x:c r="M19" s="116" t="n">
        <x:f>'都道府県別_従業者数'!I443</x:f>
        <x:v>0.021569029101496887</x:v>
      </x:c>
      <x:c r="N19" s="117" t="n">
        <x:f>'都道府県別_従業者数'!J443</x:f>
        <x:v>1.0878642637007678</x:v>
      </x:c>
    </x:row>
    <x:row r="20">
      <x:c r="A20" s="113" t="str">
        <x:v>Q</x:v>
      </x:c>
      <x:c r="B20" s="113" t="str">
        <x:v>複合サービス事業</x:v>
      </x:c>
      <x:c r="C20" s="114" t="n">
        <x:f>'都道府県別_事業所数'!D444</x:f>
        <x:v>581</x:v>
      </x:c>
      <x:c r="D20" s="113" t="n">
        <x:f>'都道府県別_事業所数'!E444</x:f>
        <x:v>25</x:v>
      </x:c>
      <x:c r="E20" s="115" t="n">
        <x:f>'都道府県別_事業所数'!G444</x:f>
        <x:v>22.536089744062167</x:v>
      </x:c>
      <x:c r="F20" s="113" t="n">
        <x:f>'都道府県別_事業所数'!H444</x:f>
        <x:v>39</x:v>
      </x:c>
      <x:c r="G20" s="116" t="n">
        <x:f>'都道府県別_事業所数'!I444</x:f>
        <x:v>0.018082225887771933</x:v>
      </x:c>
      <x:c r="H20" s="117" t="n">
        <x:f>'都道府県別_事業所数'!J444</x:f>
        <x:v>0.8432500258455106</x:v>
      </x:c>
      <x:c r="I20" s="114" t="n">
        <x:f>'都道府県別_従業者数'!D444</x:f>
        <x:v>7399</x:v>
      </x:c>
      <x:c r="J20" s="113" t="n">
        <x:f>'都道府県別_従業者数'!E444</x:f>
        <x:v>21</x:v>
      </x:c>
      <x:c r="K20" s="115" t="n">
        <x:f>'都道府県別_従業者数'!G444</x:f>
        <x:v>28.699574529486398</x:v>
      </x:c>
      <x:c r="L20" s="113" t="n">
        <x:f>'都道府県別_従業者数'!H444</x:f>
        <x:v>42</x:v>
      </x:c>
      <x:c r="M20" s="116" t="n">
        <x:f>'都道府県別_従業者数'!I444</x:f>
        <x:v>0.016971351239764204</x:v>
      </x:c>
      <x:c r="N20" s="117" t="n">
        <x:f>'都道府県別_従業者数'!J444</x:f>
        <x:v>0.8559739260202445</x:v>
      </x:c>
    </x:row>
    <x:row r="21">
      <x:c r="A21" s="118" t="str">
        <x:v>R</x:v>
      </x:c>
      <x:c r="B21" s="118" t="str">
        <x:v>サービス業（他に分類されないもの）</x:v>
      </x:c>
      <x:c r="C21" s="119" t="n">
        <x:f>'都道府県別_事業所数'!D445</x:f>
        <x:v>8807</x:v>
      </x:c>
      <x:c r="D21" s="118" t="n">
        <x:f>'都道府県別_事業所数'!E445</x:f>
        <x:v>12</x:v>
      </x:c>
      <x:c r="E21" s="120" t="n">
        <x:f>'都道府県別_事業所数'!G445</x:f>
        <x:v>341.60988360749656</x:v>
      </x:c>
      <x:c r="F21" s="118" t="n">
        <x:f>'都道府県別_事業所数'!H445</x:f>
        <x:v>19</x:v>
      </x:c>
      <x:c r="G21" s="121" t="n">
        <x:f>'都道府県別_事業所数'!I445</x:f>
        <x:v>0.02385350421979784</x:v>
      </x:c>
      <x:c r="H21" s="122" t="n">
        <x:f>'都道府県別_事業所数'!J445</x:f>
        <x:v>1.1123889378825254</x:v>
      </x:c>
      <x:c r="I21" s="119" t="n">
        <x:f>'都道府県別_従業者数'!D445</x:f>
        <x:v>87818</x:v>
      </x:c>
      <x:c r="J21" s="118" t="n">
        <x:f>'都道府県別_従業者数'!E445</x:f>
        <x:v>14</x:v>
      </x:c>
      <x:c r="K21" s="120" t="n">
        <x:f>'都道府県別_従業者数'!G445</x:f>
        <x:v>340.6324146547421</x:v>
      </x:c>
      <x:c r="L21" s="118" t="n">
        <x:f>'都道府県別_従業者数'!H445</x:f>
        <x:v>24</x:v>
      </x:c>
      <x:c r="M21" s="121" t="n">
        <x:f>'都道府県別_従業者数'!I445</x:f>
        <x:v>0.01677729194738512</x:v>
      </x:c>
      <x:c r="N21" s="122" t="n">
        <x:f>'都道府県別_従業者数'!J445</x:f>
        <x:v>0.8461862731674041</x:v>
      </x:c>
    </x:row>
  </x:sheetData>
  <x:mergeCells>
    <x:mergeCell ref="A1:P1"/>
    <x:mergeCell ref="A2:P2"/>
  </x:mergeCells>
  <x:conditionalFormatting sqref="D5:D21">
    <x:cfRule type="cellIs" dxfId="2" priority="1" operator="lessThanOrEqual">
      <x:formula>10</x:formula>
    </x:cfRule>
  </x:conditionalFormatting>
  <x:conditionalFormatting sqref="F5:F21">
    <x:cfRule type="cellIs" dxfId="3" priority="2" operator="lessThanOrEqual">
      <x:formula>10</x:formula>
    </x:cfRule>
  </x:conditionalFormatting>
  <x:conditionalFormatting sqref="J5:J21">
    <x:cfRule type="cellIs" dxfId="4" priority="3" operator="lessThanOrEqual">
      <x:formula>10</x:formula>
    </x:cfRule>
  </x:conditionalFormatting>
  <x:conditionalFormatting sqref="L5:L21">
    <x:cfRule type="cellIs" dxfId="5" priority="4" operator="lessThanOrEqual">
      <x:formula>10</x:formula>
    </x:cfRule>
  </x:conditionalFormatting>
  <x:conditionalFormatting sqref="H5:H21">
    <x:cfRule type="cellIs" dxfId="6" priority="5" operator="greaterThan">
      <x:formula>1</x:formula>
    </x:cfRule>
  </x:conditionalFormatting>
  <x:conditionalFormatting sqref="N5:N21">
    <x:cfRule type="cellIs" dxfId="7" priority="6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3" hidden="0" customWidth="1"/>
    <x:col min="5" max="5" width="10" hidden="0" customWidth="1"/>
    <x:col min="6" max="6" width="15" hidden="0" customWidth="1"/>
    <x:col min="7" max="7" width="18" hidden="0" customWidth="1"/>
    <x:col min="8" max="8" width="12" hidden="0" customWidth="1"/>
    <x:col min="9" max="9" width="13" hidden="0" customWidth="1"/>
    <x:col min="10" max="10" width="10" hidden="0" customWidth="1"/>
  </x:cols>
  <x:sheetData>
    <x:row r="1" ht="34" customHeight="1">
      <x:c r="A1" s="83" t="str">
        <x:v>都道府県別 産業大分類別事業所数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 ht="28" customHeight="1">
      <x:c r="A2" s="85" t="str">
        <x:v>令和3年経済センサス（民営事業所）。人口は令和2年国勢調査。順位は同順位を同順位として算出。 </x:v>
      </x:c>
      <x:c r="B2" s="84"/>
      <x:c r="C2" s="84"/>
      <x:c r="D2" s="84"/>
      <x:c r="E2" s="84"/>
      <x:c r="F2" s="84"/>
      <x:c r="G2" s="84"/>
      <x:c r="H2" s="84"/>
      <x:c r="I2" s="84"/>
      <x:c r="J2" s="84"/>
    </x:row>
    <x:row r="3" ht="34" customHeight="1">
      <x:c r="A3" s="86" t="str">
        <x:v>都道府県</x:v>
      </x:c>
      <x:c r="B3" s="87" t="str">
        <x:v>産業コード</x:v>
      </x:c>
      <x:c r="C3" s="87" t="str">
        <x:v>産業大分類</x:v>
      </x:c>
      <x:c r="D3" s="87" t="str">
        <x:v>事業所数</x:v>
      </x:c>
      <x:c r="E3" s="87" t="str">
        <x:v>全国順位</x:v>
      </x:c>
      <x:c r="F3" s="87" t="str">
        <x:v>人口（2020）</x:v>
      </x:c>
      <x:c r="G3" s="87" t="str">
        <x:v>人口10万人当たり</x:v>
      </x:c>
      <x:c r="H3" s="87" t="str">
        <x:v>人口比順位</x:v>
      </x:c>
      <x:c r="I3" s="87" t="str">
        <x:v>全国シェア</x:v>
      </x:c>
      <x:c r="J3" s="88" t="str">
        <x:v>LQ</x:v>
      </x:c>
    </x:row>
    <x:row r="4">
      <x:c r="A4" s="98" t="str">
        <x:v>北海道</x:v>
      </x:c>
      <x:c r="B4" s="98" t="str">
        <x:v>AB</x:v>
      </x:c>
      <x:c r="C4" s="98" t="str">
        <x:v>農林漁業</x:v>
      </x:c>
      <x:c r="D4" s="99" t="n">
        <x:v>5122</x:v>
      </x:c>
      <x:c r="E4" s="99" t="n">
        <x:f>1+COUNTIFS($C$4:$C$802,C4,$D$4:$D$802,"&gt;"&amp;D4)</x:f>
        <x:v>1</x:v>
      </x:c>
      <x:c r="F4" s="99" t="n">
        <x:v>5224614</x:v>
      </x:c>
      <x:c r="G4" s="123" t="n">
        <x:f>D4/F4*100000</x:f>
        <x:v>98.03595059845568</x:v>
      </x:c>
      <x:c r="H4" s="124" t="n">
        <x:f>1+COUNTIFS($C$4:$C$802,C4,$G$4:$G$802,"&gt;"&amp;G4)</x:f>
        <x:v>5</x:v>
      </x:c>
      <x:c r="I4" s="125" t="n">
        <x:f>D4/SUMIF($C$4:$C$802,C4,$D$4:$D$802)</x:f>
        <x:v>0.12063686466625842</x:v>
      </x:c>
      <x:c r="J4" s="100" t="n">
        <x:f>(D4/SUMIF($A$4:$A$802,A4,$D$4:$D$802))/(SUMIF($C$4:$C$802,C4,$D$4:$D$802)/SUM($D$4:$D$802))</x:f>
        <x:v>2.8780296234647817</x:v>
      </x:c>
    </x:row>
    <x:row r="5">
      <x:c r="A5" s="101" t="str">
        <x:v>北海道</x:v>
      </x:c>
      <x:c r="B5" s="101" t="str">
        <x:v>C</x:v>
      </x:c>
      <x:c r="C5" s="101" t="str">
        <x:v>鉱業，採石業，砂利採取業</x:v>
      </x:c>
      <x:c r="D5" s="102" t="n">
        <x:v>171</x:v>
      </x:c>
      <x:c r="E5" s="102" t="n">
        <x:f>1+COUNTIFS($C$4:$C$802,C5,$D$4:$D$802,"&gt;"&amp;D5)</x:f>
        <x:v>1</x:v>
      </x:c>
      <x:c r="F5" s="102" t="n">
        <x:v>5224614</x:v>
      </x:c>
      <x:c r="G5" s="126" t="n">
        <x:f>D5/F5*100000</x:f>
        <x:v>3.2729690652744874</x:v>
      </x:c>
      <x:c r="H5" s="127" t="n">
        <x:f>1+COUNTIFS($C$4:$C$802,C5,$G$4:$G$802,"&gt;"&amp;G5)</x:f>
        <x:v>12</x:v>
      </x:c>
      <x:c r="I5" s="128" t="n">
        <x:f>D5/SUMIF($C$4:$C$802,C5,$D$4:$D$802)</x:f>
        <x:v>0.09168900804289544</x:v>
      </x:c>
      <x:c r="J5" s="103" t="n">
        <x:f>(D5/SUMIF($A$4:$A$802,A5,$D$4:$D$802))/(SUMIF($C$4:$C$802,C5,$D$4:$D$802)/SUM($D$4:$D$802))</x:f>
        <x:v>2.1874215814841276</x:v>
      </x:c>
    </x:row>
    <x:row r="6">
      <x:c r="A6" s="101" t="str">
        <x:v>北海道</x:v>
      </x:c>
      <x:c r="B6" s="101" t="str">
        <x:v>D</x:v>
      </x:c>
      <x:c r="C6" s="101" t="str">
        <x:v>建設業</x:v>
      </x:c>
      <x:c r="D6" s="102" t="n">
        <x:v>21256</x:v>
      </x:c>
      <x:c r="E6" s="102" t="n">
        <x:f>1+COUNTIFS($C$4:$C$802,C6,$D$4:$D$802,"&gt;"&amp;D6)</x:f>
        <x:v>6</x:v>
      </x:c>
      <x:c r="F6" s="102" t="n">
        <x:v>5224614</x:v>
      </x:c>
      <x:c r="G6" s="126" t="n">
        <x:f>D6/F6*100000</x:f>
        <x:v>406.84345293259946</x:v>
      </x:c>
      <x:c r="H6" s="127" t="n">
        <x:f>1+COUNTIFS($C$4:$C$802,C6,$G$4:$G$802,"&gt;"&amp;G6)</x:f>
        <x:v>32</x:v>
      </x:c>
      <x:c r="I6" s="128" t="n">
        <x:f>D6/SUMIF($C$4:$C$802,C6,$D$4:$D$802)</x:f>
        <x:v>0.04381460830490482</x:v>
      </x:c>
      <x:c r="J6" s="103" t="n">
        <x:f>(D6/SUMIF($A$4:$A$802,A6,$D$4:$D$802))/(SUMIF($C$4:$C$802,C6,$D$4:$D$802)/SUM($D$4:$D$802))</x:f>
        <x:v>1.0452836368955436</x:v>
      </x:c>
    </x:row>
    <x:row r="7">
      <x:c r="A7" s="101" t="str">
        <x:v>北海道</x:v>
      </x:c>
      <x:c r="B7" s="101" t="str">
        <x:v>E</x:v>
      </x:c>
      <x:c r="C7" s="101" t="str">
        <x:v>製造業</x:v>
      </x:c>
      <x:c r="D7" s="102" t="n">
        <x:v>10246</x:v>
      </x:c>
      <x:c r="E7" s="102" t="n">
        <x:f>1+COUNTIFS($C$4:$C$802,C7,$D$4:$D$802,"&gt;"&amp;D7)</x:f>
        <x:v>12</x:v>
      </x:c>
      <x:c r="F7" s="102" t="n">
        <x:v>5224614</x:v>
      </x:c>
      <x:c r="G7" s="126" t="n">
        <x:f>D7/F7*100000</x:f>
        <x:v>196.11018153685612</x:v>
      </x:c>
      <x:c r="H7" s="127" t="n">
        <x:f>1+COUNTIFS($C$4:$C$802,C7,$G$4:$G$802,"&gt;"&amp;G7)</x:f>
        <x:v>44</x:v>
      </x:c>
      <x:c r="I7" s="128" t="n">
        <x:f>D7/SUMIF($C$4:$C$802,C7,$D$4:$D$802)</x:f>
        <x:v>0.024831744693020404</x:v>
      </x:c>
      <x:c r="J7" s="103" t="n">
        <x:f>(D7/SUMIF($A$4:$A$802,A7,$D$4:$D$802))/(SUMIF($C$4:$C$802,C7,$D$4:$D$802)/SUM($D$4:$D$802))</x:f>
        <x:v>0.5924100980785515</x:v>
      </x:c>
    </x:row>
    <x:row r="8">
      <x:c r="A8" s="101" t="str">
        <x:v>北海道</x:v>
      </x:c>
      <x:c r="B8" s="101" t="str">
        <x:v>F</x:v>
      </x:c>
      <x:c r="C8" s="101" t="str">
        <x:v>電気・ガス・熱供給・水道業</x:v>
      </x:c>
      <x:c r="D8" s="102" t="n">
        <x:v>476</x:v>
      </x:c>
      <x:c r="E8" s="102" t="n">
        <x:f>1+COUNTIFS($C$4:$C$802,C8,$D$4:$D$802,"&gt;"&amp;D8)</x:f>
        <x:v>2</x:v>
      </x:c>
      <x:c r="F8" s="102" t="n">
        <x:v>5224614</x:v>
      </x:c>
      <x:c r="G8" s="126" t="n">
        <x:f>D8/F8*100000</x:f>
        <x:v>9.110720906845941</x:v>
      </x:c>
      <x:c r="H8" s="127" t="n">
        <x:f>1+COUNTIFS($C$4:$C$802,C8,$G$4:$G$802,"&gt;"&amp;G8)</x:f>
        <x:v>22</x:v>
      </x:c>
      <x:c r="I8" s="128" t="n">
        <x:f>D8/SUMIF($C$4:$C$802,C8,$D$4:$D$802)</x:f>
        <x:v>0.052084473137104716</x:v>
      </x:c>
      <x:c r="J8" s="103" t="n">
        <x:f>(D8/SUMIF($A$4:$A$802,A8,$D$4:$D$802))/(SUMIF($C$4:$C$802,C8,$D$4:$D$802)/SUM($D$4:$D$802))</x:f>
        <x:v>1.242577524091353</x:v>
      </x:c>
    </x:row>
    <x:row r="9">
      <x:c r="A9" s="101" t="str">
        <x:v>北海道</x:v>
      </x:c>
      <x:c r="B9" s="101" t="str">
        <x:v>G</x:v>
      </x:c>
      <x:c r="C9" s="101" t="str">
        <x:v>情報通信業</x:v>
      </x:c>
      <x:c r="D9" s="102" t="n">
        <x:v>2544</x:v>
      </x:c>
      <x:c r="E9" s="102" t="n">
        <x:f>1+COUNTIFS($C$4:$C$802,C9,$D$4:$D$802,"&gt;"&amp;D9)</x:f>
        <x:v>6</x:v>
      </x:c>
      <x:c r="F9" s="102" t="n">
        <x:v>5224614</x:v>
      </x:c>
      <x:c r="G9" s="126" t="n">
        <x:f>D9/F9*100000</x:f>
        <x:v>48.69259240969763</x:v>
      </x:c>
      <x:c r="H9" s="127" t="n">
        <x:f>1+COUNTIFS($C$4:$C$802,C9,$G$4:$G$802,"&gt;"&amp;G9)</x:f>
        <x:v>9</x:v>
      </x:c>
      <x:c r="I9" s="128" t="n">
        <x:f>D9/SUMIF($C$4:$C$802,C9,$D$4:$D$802)</x:f>
        <x:v>0.0332292741545736</x:v>
      </x:c>
      <x:c r="J9" s="103" t="n">
        <x:f>(D9/SUMIF($A$4:$A$802,A9,$D$4:$D$802))/(SUMIF($C$4:$C$802,C9,$D$4:$D$802)/SUM($D$4:$D$802))</x:f>
        <x:v>0.7927496760436287</x:v>
      </x:c>
    </x:row>
    <x:row r="10">
      <x:c r="A10" s="101" t="str">
        <x:v>北海道</x:v>
      </x:c>
      <x:c r="B10" s="101" t="str">
        <x:v>H</x:v>
      </x:c>
      <x:c r="C10" s="101" t="str">
        <x:v>運輸業，郵便業</x:v>
      </x:c>
      <x:c r="D10" s="102" t="n">
        <x:v>6445</x:v>
      </x:c>
      <x:c r="E10" s="102" t="n">
        <x:f>1+COUNTIFS($C$4:$C$802,C10,$D$4:$D$802,"&gt;"&amp;D10)</x:f>
        <x:v>6</x:v>
      </x:c>
      <x:c r="F10" s="102" t="n">
        <x:v>5224614</x:v>
      </x:c>
      <x:c r="G10" s="126" t="n">
        <x:f>D10/F10*100000</x:f>
        <x:v>123.35839547189516</x:v>
      </x:c>
      <x:c r="H10" s="127" t="n">
        <x:f>1+COUNTIFS($C$4:$C$802,C10,$G$4:$G$802,"&gt;"&amp;G10)</x:f>
        <x:v>3</x:v>
      </x:c>
      <x:c r="I10" s="128" t="n">
        <x:f>D10/SUMIF($C$4:$C$802,C10,$D$4:$D$802)</x:f>
        <x:v>0.05026360119790367</x:v>
      </x:c>
      <x:c r="J10" s="103" t="n">
        <x:f>(D10/SUMIF($A$4:$A$802,A10,$D$4:$D$802))/(SUMIF($C$4:$C$802,C10,$D$4:$D$802)/SUM($D$4:$D$802))</x:f>
        <x:v>1.1991370434716495</x:v>
      </x:c>
    </x:row>
    <x:row r="11">
      <x:c r="A11" s="101" t="str">
        <x:v>北海道</x:v>
      </x:c>
      <x:c r="B11" s="101" t="str">
        <x:v>I</x:v>
      </x:c>
      <x:c r="C11" s="101" t="str">
        <x:v>卸売業，小売業</x:v>
      </x:c>
      <x:c r="D11" s="102" t="n">
        <x:v>51407</x:v>
      </x:c>
      <x:c r="E11" s="102" t="n">
        <x:f>1+COUNTIFS($C$4:$C$802,C11,$D$4:$D$802,"&gt;"&amp;D11)</x:f>
        <x:v>7</x:v>
      </x:c>
      <x:c r="F11" s="102" t="n">
        <x:v>5224614</x:v>
      </x:c>
      <x:c r="G11" s="126" t="n">
        <x:f>D11/F11*100000</x:f>
        <x:v>983.9387177693892</x:v>
      </x:c>
      <x:c r="H11" s="127" t="n">
        <x:f>1+COUNTIFS($C$4:$C$802,C11,$G$4:$G$802,"&gt;"&amp;G11)</x:f>
        <x:v>39</x:v>
      </x:c>
      <x:c r="I11" s="128" t="n">
        <x:f>D11/SUMIF($C$4:$C$802,C11,$D$4:$D$802)</x:f>
        <x:v>0.04183103863554991</x:v>
      </x:c>
      <x:c r="J11" s="103" t="n">
        <x:f>(D11/SUMIF($A$4:$A$802,A11,$D$4:$D$802))/(SUMIF($C$4:$C$802,C11,$D$4:$D$802)/SUM($D$4:$D$802))</x:f>
        <x:v>0.997961681998896</x:v>
      </x:c>
    </x:row>
    <x:row r="12">
      <x:c r="A12" s="101" t="str">
        <x:v>北海道</x:v>
      </x:c>
      <x:c r="B12" s="101" t="str">
        <x:v>J</x:v>
      </x:c>
      <x:c r="C12" s="101" t="str">
        <x:v>金融業，保険業</x:v>
      </x:c>
      <x:c r="D12" s="102" t="n">
        <x:v>4006</x:v>
      </x:c>
      <x:c r="E12" s="102" t="n">
        <x:f>1+COUNTIFS($C$4:$C$802,C12,$D$4:$D$802,"&gt;"&amp;D12)</x:f>
        <x:v>4</x:v>
      </x:c>
      <x:c r="F12" s="102" t="n">
        <x:v>5224614</x:v>
      </x:c>
      <x:c r="G12" s="126" t="n">
        <x:f>D12/F12*100000</x:f>
        <x:v>76.67552090929588</x:v>
      </x:c>
      <x:c r="H12" s="127" t="n">
        <x:f>1+COUNTIFS($C$4:$C$802,C12,$G$4:$G$802,"&gt;"&amp;G12)</x:f>
        <x:v>21</x:v>
      </x:c>
      <x:c r="I12" s="128" t="n">
        <x:f>D12/SUMIF($C$4:$C$802,C12,$D$4:$D$802)</x:f>
        <x:v>0.0477746505748223</x:v>
      </x:c>
      <x:c r="J12" s="103" t="n">
        <x:f>(D12/SUMIF($A$4:$A$802,A12,$D$4:$D$802))/(SUMIF($C$4:$C$802,C12,$D$4:$D$802)/SUM($D$4:$D$802))</x:f>
        <x:v>1.1397582321573265</x:v>
      </x:c>
    </x:row>
    <x:row r="13">
      <x:c r="A13" s="101" t="str">
        <x:v>北海道</x:v>
      </x:c>
      <x:c r="B13" s="101" t="str">
        <x:v>K</x:v>
      </x:c>
      <x:c r="C13" s="101" t="str">
        <x:v>不動産業，物品賃貸業</x:v>
      </x:c>
      <x:c r="D13" s="102" t="n">
        <x:v>15424</x:v>
      </x:c>
      <x:c r="E13" s="102" t="n">
        <x:f>1+COUNTIFS($C$4:$C$802,C13,$D$4:$D$802,"&gt;"&amp;D13)</x:f>
        <x:v>6</x:v>
      </x:c>
      <x:c r="F13" s="102" t="n">
        <x:v>5224614</x:v>
      </x:c>
      <x:c r="G13" s="126" t="n">
        <x:f>D13/F13*100000</x:f>
        <x:v>295.2179816537643</x:v>
      </x:c>
      <x:c r="H13" s="127" t="n">
        <x:f>1+COUNTIFS($C$4:$C$802,C13,$G$4:$G$802,"&gt;"&amp;G13)</x:f>
        <x:v>13</x:v>
      </x:c>
      <x:c r="I13" s="128" t="n">
        <x:f>D13/SUMIF($C$4:$C$802,C13,$D$4:$D$802)</x:f>
        <x:v>0.041190420236289445</x:v>
      </x:c>
      <x:c r="J13" s="103" t="n">
        <x:f>(D13/SUMIF($A$4:$A$802,A13,$D$4:$D$802))/(SUMIF($C$4:$C$802,C13,$D$4:$D$802)/SUM($D$4:$D$802))</x:f>
        <x:v>0.9826784703909943</x:v>
      </x:c>
    </x:row>
    <x:row r="14">
      <x:c r="A14" s="101" t="str">
        <x:v>北海道</x:v>
      </x:c>
      <x:c r="B14" s="101" t="str">
        <x:v>L</x:v>
      </x:c>
      <x:c r="C14" s="101" t="str">
        <x:v>学術研究，専門・技術サービス業</x:v>
      </x:c>
      <x:c r="D14" s="102" t="n">
        <x:v>8971</x:v>
      </x:c>
      <x:c r="E14" s="102" t="n">
        <x:f>1+COUNTIFS($C$4:$C$802,C14,$D$4:$D$802,"&gt;"&amp;D14)</x:f>
        <x:v>8</x:v>
      </x:c>
      <x:c r="F14" s="102" t="n">
        <x:v>5224614</x:v>
      </x:c>
      <x:c r="G14" s="126" t="n">
        <x:f>D14/F14*100000</x:f>
        <x:v>171.7064648220902</x:v>
      </x:c>
      <x:c r="H14" s="127" t="n">
        <x:f>1+COUNTIFS($C$4:$C$802,C14,$G$4:$G$802,"&gt;"&amp;G14)</x:f>
        <x:v>29</x:v>
      </x:c>
      <x:c r="I14" s="128" t="n">
        <x:f>D14/SUMIF($C$4:$C$802,C14,$D$4:$D$802)</x:f>
        <x:v>0.03555124038995007</x:v>
      </x:c>
      <x:c r="J14" s="103" t="n">
        <x:f>(D14/SUMIF($A$4:$A$802,A14,$D$4:$D$802))/(SUMIF($C$4:$C$802,C14,$D$4:$D$802)/SUM($D$4:$D$802))</x:f>
        <x:v>0.8481447464359679</x:v>
      </x:c>
    </x:row>
    <x:row r="15">
      <x:c r="A15" s="101" t="str">
        <x:v>北海道</x:v>
      </x:c>
      <x:c r="B15" s="101" t="str">
        <x:v>M</x:v>
      </x:c>
      <x:c r="C15" s="101" t="str">
        <x:v>宿泊業，飲食サービス業</x:v>
      </x:c>
      <x:c r="D15" s="102" t="n">
        <x:v>27724</x:v>
      </x:c>
      <x:c r="E15" s="102" t="n">
        <x:f>1+COUNTIFS($C$4:$C$802,C15,$D$4:$D$802,"&gt;"&amp;D15)</x:f>
        <x:v>5</x:v>
      </x:c>
      <x:c r="F15" s="102" t="n">
        <x:v>5224614</x:v>
      </x:c>
      <x:c r="G15" s="126" t="n">
        <x:f>D15/F15*100000</x:f>
        <x:v>530.642072313859</x:v>
      </x:c>
      <x:c r="H15" s="127" t="n">
        <x:f>1+COUNTIFS($C$4:$C$802,C15,$G$4:$G$802,"&gt;"&amp;G15)</x:f>
        <x:v>17</x:v>
      </x:c>
      <x:c r="I15" s="128" t="n">
        <x:f>D15/SUMIF($C$4:$C$802,C15,$D$4:$D$802)</x:f>
        <x:v>0.04627932520724204</x:v>
      </x:c>
      <x:c r="J15" s="103" t="n">
        <x:f>(D15/SUMIF($A$4:$A$802,A15,$D$4:$D$802))/(SUMIF($C$4:$C$802,C15,$D$4:$D$802)/SUM($D$4:$D$802))</x:f>
        <x:v>1.1040843051490254</x:v>
      </x:c>
    </x:row>
    <x:row r="16">
      <x:c r="A16" s="101" t="str">
        <x:v>北海道</x:v>
      </x:c>
      <x:c r="B16" s="101" t="str">
        <x:v>N</x:v>
      </x:c>
      <x:c r="C16" s="101" t="str">
        <x:v>生活関連サービス業，娯楽業</x:v>
      </x:c>
      <x:c r="D16" s="102" t="n">
        <x:v>18627</x:v>
      </x:c>
      <x:c r="E16" s="102" t="n">
        <x:f>1+COUNTIFS($C$4:$C$802,C16,$D$4:$D$802,"&gt;"&amp;D16)</x:f>
        <x:v>6</x:v>
      </x:c>
      <x:c r="F16" s="102" t="n">
        <x:v>5224614</x:v>
      </x:c>
      <x:c r="G16" s="126" t="n">
        <x:f>D16/F16*100000</x:f>
        <x:v>356.5239460752507</x:v>
      </x:c>
      <x:c r="H16" s="127" t="n">
        <x:f>1+COUNTIFS($C$4:$C$802,C16,$G$4:$G$802,"&gt;"&amp;G16)</x:f>
        <x:v>35</x:v>
      </x:c>
      <x:c r="I16" s="128" t="n">
        <x:f>D16/SUMIF($C$4:$C$802,C16,$D$4:$D$802)</x:f>
        <x:v>0.04289869624996258</x:v>
      </x:c>
      <x:c r="J16" s="103" t="n">
        <x:f>(D16/SUMIF($A$4:$A$802,A16,$D$4:$D$802))/(SUMIF($C$4:$C$802,C16,$D$4:$D$802)/SUM($D$4:$D$802))</x:f>
        <x:v>1.0234327538018488</x:v>
      </x:c>
    </x:row>
    <x:row r="17">
      <x:c r="A17" s="101" t="str">
        <x:v>北海道</x:v>
      </x:c>
      <x:c r="B17" s="101" t="str">
        <x:v>O</x:v>
      </x:c>
      <x:c r="C17" s="101" t="str">
        <x:v>教育，学習支援業</x:v>
      </x:c>
      <x:c r="D17" s="102" t="n">
        <x:v>5457</x:v>
      </x:c>
      <x:c r="E17" s="102" t="n">
        <x:f>1+COUNTIFS($C$4:$C$802,C17,$D$4:$D$802,"&gt;"&amp;D17)</x:f>
        <x:v>9</x:v>
      </x:c>
      <x:c r="F17" s="102" t="n">
        <x:v>5224614</x:v>
      </x:c>
      <x:c r="G17" s="126" t="n">
        <x:f>D17/F17*100000</x:f>
        <x:v>104.44790753919811</x:v>
      </x:c>
      <x:c r="H17" s="127" t="n">
        <x:f>1+COUNTIFS($C$4:$C$802,C17,$G$4:$G$802,"&gt;"&amp;G17)</x:f>
        <x:v>47</x:v>
      </x:c>
      <x:c r="I17" s="128" t="n">
        <x:f>D17/SUMIF($C$4:$C$802,C17,$D$4:$D$802)</x:f>
        <x:v>0.033405363712604906</x:v>
      </x:c>
      <x:c r="J17" s="103" t="n">
        <x:f>(D17/SUMIF($A$4:$A$802,A17,$D$4:$D$802))/(SUMIF($C$4:$C$802,C17,$D$4:$D$802)/SUM($D$4:$D$802))</x:f>
        <x:v>0.7969506387078937</x:v>
      </x:c>
    </x:row>
    <x:row r="18">
      <x:c r="A18" s="101" t="str">
        <x:v>北海道</x:v>
      </x:c>
      <x:c r="B18" s="101" t="str">
        <x:v>P</x:v>
      </x:c>
      <x:c r="C18" s="101" t="str">
        <x:v>医療，福祉</x:v>
      </x:c>
      <x:c r="D18" s="102" t="n">
        <x:v>19946</x:v>
      </x:c>
      <x:c r="E18" s="102" t="n">
        <x:f>1+COUNTIFS($C$4:$C$802,C18,$D$4:$D$802,"&gt;"&amp;D18)</x:f>
        <x:v>8</x:v>
      </x:c>
      <x:c r="F18" s="102" t="n">
        <x:v>5224614</x:v>
      </x:c>
      <x:c r="G18" s="126" t="n">
        <x:f>D18/F18*100000</x:f>
        <x:v>381.7698302688007</x:v>
      </x:c>
      <x:c r="H18" s="127" t="n">
        <x:f>1+COUNTIFS($C$4:$C$802,C18,$G$4:$G$802,"&gt;"&amp;G18)</x:f>
        <x:v>22</x:v>
      </x:c>
      <x:c r="I18" s="128" t="n">
        <x:f>D18/SUMIF($C$4:$C$802,C18,$D$4:$D$802)</x:f>
        <x:v>0.04312359604004921</x:v>
      </x:c>
      <x:c r="J18" s="103" t="n">
        <x:f>(D18/SUMIF($A$4:$A$802,A18,$D$4:$D$802))/(SUMIF($C$4:$C$802,C18,$D$4:$D$802)/SUM($D$4:$D$802))</x:f>
        <x:v>1.028798180530826</x:v>
      </x:c>
    </x:row>
    <x:row r="19">
      <x:c r="A19" s="101" t="str">
        <x:v>北海道</x:v>
      </x:c>
      <x:c r="B19" s="101" t="str">
        <x:v>Q</x:v>
      </x:c>
      <x:c r="C19" s="101" t="str">
        <x:v>複合サービス事業</x:v>
      </x:c>
      <x:c r="D19" s="102" t="n">
        <x:v>1833</x:v>
      </x:c>
      <x:c r="E19" s="102" t="n">
        <x:f>1+COUNTIFS($C$4:$C$802,C19,$D$4:$D$802,"&gt;"&amp;D19)</x:f>
        <x:v>1</x:v>
      </x:c>
      <x:c r="F19" s="102" t="n">
        <x:v>5224614</x:v>
      </x:c>
      <x:c r="G19" s="126" t="n">
        <x:f>D19/F19*100000</x:f>
        <x:v>35.08393155934582</x:v>
      </x:c>
      <x:c r="H19" s="127" t="n">
        <x:f>1+COUNTIFS($C$4:$C$802,C19,$G$4:$G$802,"&gt;"&amp;G19)</x:f>
        <x:v>28</x:v>
      </x:c>
      <x:c r="I19" s="128" t="n">
        <x:f>D19/SUMIF($C$4:$C$802,C19,$D$4:$D$802)</x:f>
        <x:v>0.05704771093336653</x:v>
      </x:c>
      <x:c r="J19" s="103" t="n">
        <x:f>(D19/SUMIF($A$4:$A$802,A19,$D$4:$D$802))/(SUMIF($C$4:$C$802,C19,$D$4:$D$802)/SUM($D$4:$D$802))</x:f>
        <x:v>1.3609853212888279</x:v>
      </x:c>
    </x:row>
    <x:row r="20">
      <x:c r="A20" s="101" t="str">
        <x:v>北海道</x:v>
      </x:c>
      <x:c r="B20" s="101" t="str">
        <x:v>R</x:v>
      </x:c>
      <x:c r="C20" s="101" t="str">
        <x:v>サービス業（他に分類されないもの）</x:v>
      </x:c>
      <x:c r="D20" s="102" t="n">
        <x:v>16469</x:v>
      </x:c>
      <x:c r="E20" s="102" t="n">
        <x:f>1+COUNTIFS($C$4:$C$802,C20,$D$4:$D$802,"&gt;"&amp;D20)</x:f>
        <x:v>5</x:v>
      </x:c>
      <x:c r="F20" s="102" t="n">
        <x:v>5224614</x:v>
      </x:c>
      <x:c r="G20" s="126" t="n">
        <x:f>D20/F20*100000</x:f>
        <x:v>315.21945927488616</x:v>
      </x:c>
      <x:c r="H20" s="127" t="n">
        <x:f>1+COUNTIFS($C$4:$C$802,C20,$G$4:$G$802,"&gt;"&amp;G20)</x:f>
        <x:v>30</x:v>
      </x:c>
      <x:c r="I20" s="128" t="n">
        <x:f>D20/SUMIF($C$4:$C$802,C20,$D$4:$D$802)</x:f>
        <x:v>0.044605809128630707</x:v>
      </x:c>
      <x:c r="J20" s="103" t="n">
        <x:f>(D20/SUMIF($A$4:$A$802,A20,$D$4:$D$802))/(SUMIF($C$4:$C$802,C20,$D$4:$D$802)/SUM($D$4:$D$802))</x:f>
        <x:v>1.064159288340004</x:v>
      </x:c>
    </x:row>
    <x:row r="21">
      <x:c r="A21" s="101" t="str">
        <x:v>青森県</x:v>
      </x:c>
      <x:c r="B21" s="101" t="str">
        <x:v>AB</x:v>
      </x:c>
      <x:c r="C21" s="101" t="str">
        <x:v>農林漁業</x:v>
      </x:c>
      <x:c r="D21" s="102" t="n">
        <x:v>856</x:v>
      </x:c>
      <x:c r="E21" s="102" t="n">
        <x:f>1+COUNTIFS($C$4:$C$802,C21,$D$4:$D$802,"&gt;"&amp;D21)</x:f>
        <x:v>20</x:v>
      </x:c>
      <x:c r="F21" s="102" t="n">
        <x:v>1237984</x:v>
      </x:c>
      <x:c r="G21" s="126" t="n">
        <x:f>D21/F21*100000</x:f>
        <x:v>69.14467392147233</x:v>
      </x:c>
      <x:c r="H21" s="127" t="n">
        <x:f>1+COUNTIFS($C$4:$C$802,C21,$G$4:$G$802,"&gt;"&amp;G21)</x:f>
        <x:v>14</x:v>
      </x:c>
      <x:c r="I21" s="128" t="n">
        <x:f>D21/SUMIF($C$4:$C$802,C21,$D$4:$D$802)</x:f>
        <x:v>0.020161100381553537</x:v>
      </x:c>
      <x:c r="J21" s="103" t="n">
        <x:f>(D21/SUMIF($A$4:$A$802,A21,$D$4:$D$802))/(SUMIF($C$4:$C$802,C21,$D$4:$D$802)/SUM($D$4:$D$802))</x:f>
        <x:v>1.886159412781269</x:v>
      </x:c>
    </x:row>
    <x:row r="22">
      <x:c r="A22" s="101" t="str">
        <x:v>青森県</x:v>
      </x:c>
      <x:c r="B22" s="101" t="str">
        <x:v>C</x:v>
      </x:c>
      <x:c r="C22" s="101" t="str">
        <x:v>鉱業，採石業，砂利採取業</x:v>
      </x:c>
      <x:c r="D22" s="102" t="n">
        <x:v>28</x:v>
      </x:c>
      <x:c r="E22" s="102" t="n">
        <x:f>1+COUNTIFS($C$4:$C$802,C22,$D$4:$D$802,"&gt;"&amp;D22)</x:f>
        <x:v>30</x:v>
      </x:c>
      <x:c r="F22" s="102" t="n">
        <x:v>1237984</x:v>
      </x:c>
      <x:c r="G22" s="126" t="n">
        <x:f>D22/F22*100000</x:f>
        <x:v>2.2617416703285342</x:v>
      </x:c>
      <x:c r="H22" s="127" t="n">
        <x:f>1+COUNTIFS($C$4:$C$802,C22,$G$4:$G$802,"&gt;"&amp;G22)</x:f>
        <x:v>22</x:v>
      </x:c>
      <x:c r="I22" s="128" t="n">
        <x:f>D22/SUMIF($C$4:$C$802,C22,$D$4:$D$802)</x:f>
        <x:v>0.015013404825737266</x:v>
      </x:c>
      <x:c r="J22" s="103" t="n">
        <x:f>(D22/SUMIF($A$4:$A$802,A22,$D$4:$D$802))/(SUMIF($C$4:$C$802,C22,$D$4:$D$802)/SUM($D$4:$D$802))</x:f>
        <x:v>1.4045699041243511</x:v>
      </x:c>
    </x:row>
    <x:row r="23">
      <x:c r="A23" s="101" t="str">
        <x:v>青森県</x:v>
      </x:c>
      <x:c r="B23" s="101" t="str">
        <x:v>D</x:v>
      </x:c>
      <x:c r="C23" s="101" t="str">
        <x:v>建設業</x:v>
      </x:c>
      <x:c r="D23" s="102" t="n">
        <x:v>5642</x:v>
      </x:c>
      <x:c r="E23" s="102" t="n">
        <x:f>1+COUNTIFS($C$4:$C$802,C23,$D$4:$D$802,"&gt;"&amp;D23)</x:f>
        <x:v>29</x:v>
      </x:c>
      <x:c r="F23" s="102" t="n">
        <x:v>1237984</x:v>
      </x:c>
      <x:c r="G23" s="126" t="n">
        <x:f>D23/F23*100000</x:f>
        <x:v>455.7409465711996</x:v>
      </x:c>
      <x:c r="H23" s="127" t="n">
        <x:f>1+COUNTIFS($C$4:$C$802,C23,$G$4:$G$802,"&gt;"&amp;G23)</x:f>
        <x:v>15</x:v>
      </x:c>
      <x:c r="I23" s="128" t="n">
        <x:f>D23/SUMIF($C$4:$C$802,C23,$D$4:$D$802)</x:f>
        <x:v>0.011629752543106558</x:v>
      </x:c>
      <x:c r="J23" s="103" t="n">
        <x:f>(D23/SUMIF($A$4:$A$802,A23,$D$4:$D$802))/(SUMIF($C$4:$C$802,C23,$D$4:$D$802)/SUM($D$4:$D$802))</x:f>
        <x:v>1.0880143847489272</x:v>
      </x:c>
    </x:row>
    <x:row r="24">
      <x:c r="A24" s="101" t="str">
        <x:v>青森県</x:v>
      </x:c>
      <x:c r="B24" s="101" t="str">
        <x:v>E</x:v>
      </x:c>
      <x:c r="C24" s="101" t="str">
        <x:v>製造業</x:v>
      </x:c>
      <x:c r="D24" s="102" t="n">
        <x:v>2695</x:v>
      </x:c>
      <x:c r="E24" s="102" t="n">
        <x:f>1+COUNTIFS($C$4:$C$802,C24,$D$4:$D$802,"&gt;"&amp;D24)</x:f>
        <x:v>42</x:v>
      </x:c>
      <x:c r="F24" s="102" t="n">
        <x:v>1237984</x:v>
      </x:c>
      <x:c r="G24" s="126" t="n">
        <x:f>D24/F24*100000</x:f>
        <x:v>217.69263576912138</x:v>
      </x:c>
      <x:c r="H24" s="127" t="n">
        <x:f>1+COUNTIFS($C$4:$C$802,C24,$G$4:$G$802,"&gt;"&amp;G24)</x:f>
        <x:v>43</x:v>
      </x:c>
      <x:c r="I24" s="128" t="n">
        <x:f>D24/SUMIF($C$4:$C$802,C24,$D$4:$D$802)</x:f>
        <x:v>0.006531480767879171</x:v>
      </x:c>
      <x:c r="J24" s="103" t="n">
        <x:f>(D24/SUMIF($A$4:$A$802,A24,$D$4:$D$802))/(SUMIF($C$4:$C$802,C24,$D$4:$D$802)/SUM($D$4:$D$802))</x:f>
        <x:v>0.6110486876503436</x:v>
      </x:c>
    </x:row>
    <x:row r="25">
      <x:c r="A25" s="101" t="str">
        <x:v>青森県</x:v>
      </x:c>
      <x:c r="B25" s="101" t="str">
        <x:v>F</x:v>
      </x:c>
      <x:c r="C25" s="101" t="str">
        <x:v>電気・ガス・熱供給・水道業</x:v>
      </x:c>
      <x:c r="D25" s="102" t="n">
        <x:v>123</x:v>
      </x:c>
      <x:c r="E25" s="102" t="n">
        <x:f>1+COUNTIFS($C$4:$C$802,C25,$D$4:$D$802,"&gt;"&amp;D25)</x:f>
        <x:v>30</x:v>
      </x:c>
      <x:c r="F25" s="102" t="n">
        <x:v>1237984</x:v>
      </x:c>
      <x:c r="G25" s="126" t="n">
        <x:f>D25/F25*100000</x:f>
        <x:v>9.935508051800346</x:v>
      </x:c>
      <x:c r="H25" s="127" t="n">
        <x:f>1+COUNTIFS($C$4:$C$802,C25,$G$4:$G$802,"&gt;"&amp;G25)</x:f>
        <x:v>19</x:v>
      </x:c>
      <x:c r="I25" s="128" t="n">
        <x:f>D25/SUMIF($C$4:$C$802,C25,$D$4:$D$802)</x:f>
        <x:v>0.013458802932487144</x:v>
      </x:c>
      <x:c r="J25" s="103" t="n">
        <x:f>(D25/SUMIF($A$4:$A$802,A25,$D$4:$D$802))/(SUMIF($C$4:$C$802,C25,$D$4:$D$802)/SUM($D$4:$D$802))</x:f>
        <x:v>1.2591300750183887</x:v>
      </x:c>
    </x:row>
    <x:row r="26">
      <x:c r="A26" s="101" t="str">
        <x:v>青森県</x:v>
      </x:c>
      <x:c r="B26" s="101" t="str">
        <x:v>G</x:v>
      </x:c>
      <x:c r="C26" s="101" t="str">
        <x:v>情報通信業</x:v>
      </x:c>
      <x:c r="D26" s="102" t="n">
        <x:v>390</x:v>
      </x:c>
      <x:c r="E26" s="102" t="n">
        <x:f>1+COUNTIFS($C$4:$C$802,C26,$D$4:$D$802,"&gt;"&amp;D26)</x:f>
        <x:v>33</x:v>
      </x:c>
      <x:c r="F26" s="102" t="n">
        <x:v>1237984</x:v>
      </x:c>
      <x:c r="G26" s="126" t="n">
        <x:f>D26/F26*100000</x:f>
        <x:v>31.50283040814744</x:v>
      </x:c>
      <x:c r="H26" s="127" t="n">
        <x:f>1+COUNTIFS($C$4:$C$802,C26,$G$4:$G$802,"&gt;"&amp;G26)</x:f>
        <x:v>31</x:v>
      </x:c>
      <x:c r="I26" s="128" t="n">
        <x:f>D26/SUMIF($C$4:$C$802,C26,$D$4:$D$802)</x:f>
        <x:v>0.0050941104246398205</x:v>
      </x:c>
      <x:c r="J26" s="103" t="n">
        <x:f>(D26/SUMIF($A$4:$A$802,A26,$D$4:$D$802))/(SUMIF($C$4:$C$802,C26,$D$4:$D$802)/SUM($D$4:$D$802))</x:f>
        <x:v>0.4765763844900417</x:v>
      </x:c>
    </x:row>
    <x:row r="27">
      <x:c r="A27" s="101" t="str">
        <x:v>青森県</x:v>
      </x:c>
      <x:c r="B27" s="101" t="str">
        <x:v>H</x:v>
      </x:c>
      <x:c r="C27" s="101" t="str">
        <x:v>運輸業，郵便業</x:v>
      </x:c>
      <x:c r="D27" s="102" t="n">
        <x:v>1379</x:v>
      </x:c>
      <x:c r="E27" s="102" t="n">
        <x:f>1+COUNTIFS($C$4:$C$802,C27,$D$4:$D$802,"&gt;"&amp;D27)</x:f>
        <x:v>29</x:v>
      </x:c>
      <x:c r="F27" s="102" t="n">
        <x:v>1237984</x:v>
      </x:c>
      <x:c r="G27" s="126" t="n">
        <x:f>D27/F27*100000</x:f>
        <x:v>111.39077726368029</x:v>
      </x:c>
      <x:c r="H27" s="127" t="n">
        <x:f>1+COUNTIFS($C$4:$C$802,C27,$G$4:$G$802,"&gt;"&amp;G27)</x:f>
        <x:v>11</x:v>
      </x:c>
      <x:c r="I27" s="128" t="n">
        <x:f>D27/SUMIF($C$4:$C$802,C27,$D$4:$D$802)</x:f>
        <x:v>0.010754616920389318</x:v>
      </x:c>
      <x:c r="J27" s="103" t="n">
        <x:f>(D27/SUMIF($A$4:$A$802,A27,$D$4:$D$802))/(SUMIF($C$4:$C$802,C27,$D$4:$D$802)/SUM($D$4:$D$802))</x:f>
        <x:v>1.006141606923835</x:v>
      </x:c>
    </x:row>
    <x:row r="28">
      <x:c r="A28" s="101" t="str">
        <x:v>青森県</x:v>
      </x:c>
      <x:c r="B28" s="101" t="str">
        <x:v>I</x:v>
      </x:c>
      <x:c r="C28" s="101" t="str">
        <x:v>卸売業，小売業</x:v>
      </x:c>
      <x:c r="D28" s="102" t="n">
        <x:v>14097</x:v>
      </x:c>
      <x:c r="E28" s="102" t="n">
        <x:f>1+COUNTIFS($C$4:$C$802,C28,$D$4:$D$802,"&gt;"&amp;D28)</x:f>
        <x:v>29</x:v>
      </x:c>
      <x:c r="F28" s="102" t="n">
        <x:v>1237984</x:v>
      </x:c>
      <x:c r="G28" s="126" t="n">
        <x:f>D28/F28*100000</x:f>
        <x:v>1138.706154522191</x:v>
      </x:c>
      <x:c r="H28" s="127" t="n">
        <x:f>1+COUNTIFS($C$4:$C$802,C28,$G$4:$G$802,"&gt;"&amp;G28)</x:f>
        <x:v>17</x:v>
      </x:c>
      <x:c r="I28" s="128" t="n">
        <x:f>D28/SUMIF($C$4:$C$802,C28,$D$4:$D$802)</x:f>
        <x:v>0.011471047749243238</x:v>
      </x:c>
      <x:c r="J28" s="103" t="n">
        <x:f>(D28/SUMIF($A$4:$A$802,A28,$D$4:$D$802))/(SUMIF($C$4:$C$802,C28,$D$4:$D$802)/SUM($D$4:$D$802))</x:f>
        <x:v>1.0731668548456141</x:v>
      </x:c>
    </x:row>
    <x:row r="29">
      <x:c r="A29" s="101" t="str">
        <x:v>青森県</x:v>
      </x:c>
      <x:c r="B29" s="101" t="str">
        <x:v>J</x:v>
      </x:c>
      <x:c r="C29" s="101" t="str">
        <x:v>金融業，保険業</x:v>
      </x:c>
      <x:c r="D29" s="102" t="n">
        <x:v>1045</x:v>
      </x:c>
      <x:c r="E29" s="102" t="n">
        <x:f>1+COUNTIFS($C$4:$C$802,C29,$D$4:$D$802,"&gt;"&amp;D29)</x:f>
        <x:v>27</x:v>
      </x:c>
      <x:c r="F29" s="102" t="n">
        <x:v>1237984</x:v>
      </x:c>
      <x:c r="G29" s="126" t="n">
        <x:f>D29/F29*100000</x:f>
        <x:v>84.41143019618994</x:v>
      </x:c>
      <x:c r="H29" s="127" t="n">
        <x:f>1+COUNTIFS($C$4:$C$802,C29,$G$4:$G$802,"&gt;"&amp;G29)</x:f>
        <x:v>8</x:v>
      </x:c>
      <x:c r="I29" s="128" t="n">
        <x:f>D29/SUMIF($C$4:$C$802,C29,$D$4:$D$802)</x:f>
        <x:v>0.012462433811954396</x:v>
      </x:c>
      <x:c r="J29" s="103" t="n">
        <x:f>(D29/SUMIF($A$4:$A$802,A29,$D$4:$D$802))/(SUMIF($C$4:$C$802,C29,$D$4:$D$802)/SUM($D$4:$D$802))</x:f>
        <x:v>1.1659153714689279</x:v>
      </x:c>
    </x:row>
    <x:row r="30">
      <x:c r="A30" s="101" t="str">
        <x:v>青森県</x:v>
      </x:c>
      <x:c r="B30" s="101" t="str">
        <x:v>K</x:v>
      </x:c>
      <x:c r="C30" s="101" t="str">
        <x:v>不動産業，物品賃貸業</x:v>
      </x:c>
      <x:c r="D30" s="102" t="n">
        <x:v>3014</x:v>
      </x:c>
      <x:c r="E30" s="102" t="n">
        <x:f>1+COUNTIFS($C$4:$C$802,C30,$D$4:$D$802,"&gt;"&amp;D30)</x:f>
        <x:v>32</x:v>
      </x:c>
      <x:c r="F30" s="102" t="n">
        <x:v>1237984</x:v>
      </x:c>
      <x:c r="G30" s="126" t="n">
        <x:f>D30/F30*100000</x:f>
        <x:v>243.46033551322148</x:v>
      </x:c>
      <x:c r="H30" s="127" t="n">
        <x:f>1+COUNTIFS($C$4:$C$802,C30,$G$4:$G$802,"&gt;"&amp;G30)</x:f>
        <x:v>28</x:v>
      </x:c>
      <x:c r="I30" s="128" t="n">
        <x:f>D30/SUMIF($C$4:$C$802,C30,$D$4:$D$802)</x:f>
        <x:v>0.008049009763496913</x:v>
      </x:c>
      <x:c r="J30" s="103" t="n">
        <x:f>(D30/SUMIF($A$4:$A$802,A30,$D$4:$D$802))/(SUMIF($C$4:$C$802,C30,$D$4:$D$802)/SUM($D$4:$D$802))</x:f>
        <x:v>0.7530201844973996</x:v>
      </x:c>
    </x:row>
    <x:row r="31">
      <x:c r="A31" s="101" t="str">
        <x:v>青森県</x:v>
      </x:c>
      <x:c r="B31" s="101" t="str">
        <x:v>L</x:v>
      </x:c>
      <x:c r="C31" s="101" t="str">
        <x:v>学術研究，専門・技術サービス業</x:v>
      </x:c>
      <x:c r="D31" s="102" t="n">
        <x:v>1819</x:v>
      </x:c>
      <x:c r="E31" s="102" t="n">
        <x:f>1+COUNTIFS($C$4:$C$802,C31,$D$4:$D$802,"&gt;"&amp;D31)</x:f>
        <x:v>36</x:v>
      </x:c>
      <x:c r="F31" s="102" t="n">
        <x:v>1237984</x:v>
      </x:c>
      <x:c r="G31" s="126" t="n">
        <x:f>D31/F31*100000</x:f>
        <x:v>146.9324320831287</x:v>
      </x:c>
      <x:c r="H31" s="127" t="n">
        <x:f>1+COUNTIFS($C$4:$C$802,C31,$G$4:$G$802,"&gt;"&amp;G31)</x:f>
        <x:v>44</x:v>
      </x:c>
      <x:c r="I31" s="128" t="n">
        <x:f>D31/SUMIF($C$4:$C$802,C31,$D$4:$D$802)</x:f>
        <x:v>0.007208528176270112</x:v>
      </x:c>
      <x:c r="J31" s="103" t="n">
        <x:f>(D31/SUMIF($A$4:$A$802,A31,$D$4:$D$802))/(SUMIF($C$4:$C$802,C31,$D$4:$D$802)/SUM($D$4:$D$802))</x:f>
        <x:v>0.6743894437632465</x:v>
      </x:c>
    </x:row>
    <x:row r="32">
      <x:c r="A32" s="101" t="str">
        <x:v>青森県</x:v>
      </x:c>
      <x:c r="B32" s="101" t="str">
        <x:v>M</x:v>
      </x:c>
      <x:c r="C32" s="101" t="str">
        <x:v>宿泊業，飲食サービス業</x:v>
      </x:c>
      <x:c r="D32" s="102" t="n">
        <x:v>6755</x:v>
      </x:c>
      <x:c r="E32" s="102" t="n">
        <x:f>1+COUNTIFS($C$4:$C$802,C32,$D$4:$D$802,"&gt;"&amp;D32)</x:f>
        <x:v>27</x:v>
      </x:c>
      <x:c r="F32" s="102" t="n">
        <x:v>1237984</x:v>
      </x:c>
      <x:c r="G32" s="126" t="n">
        <x:f>D32/F32*100000</x:f>
        <x:v>545.6451779667589</x:v>
      </x:c>
      <x:c r="H32" s="127" t="n">
        <x:f>1+COUNTIFS($C$4:$C$802,C32,$G$4:$G$802,"&gt;"&amp;G32)</x:f>
        <x:v>11</x:v>
      </x:c>
      <x:c r="I32" s="128" t="n">
        <x:f>D32/SUMIF($C$4:$C$802,C32,$D$4:$D$802)</x:f>
        <x:v>0.011276036710969555</x:v>
      </x:c>
      <x:c r="J32" s="103" t="n">
        <x:f>(D32/SUMIF($A$4:$A$802,A32,$D$4:$D$802))/(SUMIF($C$4:$C$802,C32,$D$4:$D$802)/SUM($D$4:$D$802))</x:f>
        <x:v>1.0549227164565858</x:v>
      </x:c>
    </x:row>
    <x:row r="33">
      <x:c r="A33" s="101" t="str">
        <x:v>青森県</x:v>
      </x:c>
      <x:c r="B33" s="101" t="str">
        <x:v>N</x:v>
      </x:c>
      <x:c r="C33" s="101" t="str">
        <x:v>生活関連サービス業，娯楽業</x:v>
      </x:c>
      <x:c r="D33" s="102" t="n">
        <x:v>5978</x:v>
      </x:c>
      <x:c r="E33" s="102" t="n">
        <x:f>1+COUNTIFS($C$4:$C$802,C33,$D$4:$D$802,"&gt;"&amp;D33)</x:f>
        <x:v>25</x:v>
      </x:c>
      <x:c r="F33" s="102" t="n">
        <x:v>1237984</x:v>
      </x:c>
      <x:c r="G33" s="126" t="n">
        <x:f>D33/F33*100000</x:f>
        <x:v>482.8818466151421</x:v>
      </x:c>
      <x:c r="H33" s="127" t="n">
        <x:f>1+COUNTIFS($C$4:$C$802,C33,$G$4:$G$802,"&gt;"&amp;G33)</x:f>
        <x:v>3</x:v>
      </x:c>
      <x:c r="I33" s="128" t="n">
        <x:f>D33/SUMIF($C$4:$C$802,C33,$D$4:$D$802)</x:f>
        <x:v>0.013767563546587012</x:v>
      </x:c>
      <x:c r="J33" s="103" t="n">
        <x:f>(D33/SUMIF($A$4:$A$802,A33,$D$4:$D$802))/(SUMIF($C$4:$C$802,C33,$D$4:$D$802)/SUM($D$4:$D$802))</x:f>
        <x:v>1.2880159853883126</x:v>
      </x:c>
    </x:row>
    <x:row r="34">
      <x:c r="A34" s="101" t="str">
        <x:v>青森県</x:v>
      </x:c>
      <x:c r="B34" s="101" t="str">
        <x:v>O</x:v>
      </x:c>
      <x:c r="C34" s="101" t="str">
        <x:v>教育，学習支援業</x:v>
      </x:c>
      <x:c r="D34" s="102" t="n">
        <x:v>1695</x:v>
      </x:c>
      <x:c r="E34" s="102" t="n">
        <x:f>1+COUNTIFS($C$4:$C$802,C34,$D$4:$D$802,"&gt;"&amp;D34)</x:f>
        <x:v>29</x:v>
      </x:c>
      <x:c r="F34" s="102" t="n">
        <x:v>1237984</x:v>
      </x:c>
      <x:c r="G34" s="126" t="n">
        <x:f>D34/F34*100000</x:f>
        <x:v>136.91614754310234</x:v>
      </x:c>
      <x:c r="H34" s="127" t="n">
        <x:f>1+COUNTIFS($C$4:$C$802,C34,$G$4:$G$802,"&gt;"&amp;G34)</x:f>
        <x:v>16</x:v>
      </x:c>
      <x:c r="I34" s="128" t="n">
        <x:f>D34/SUMIF($C$4:$C$802,C34,$D$4:$D$802)</x:f>
        <x:v>0.010376047552293443</x:v>
      </x:c>
      <x:c r="J34" s="103" t="n">
        <x:f>(D34/SUMIF($A$4:$A$802,A34,$D$4:$D$802))/(SUMIF($C$4:$C$802,C34,$D$4:$D$802)/SUM($D$4:$D$802))</x:f>
        <x:v>0.9707247812788414</x:v>
      </x:c>
    </x:row>
    <x:row r="35">
      <x:c r="A35" s="101" t="str">
        <x:v>青森県</x:v>
      </x:c>
      <x:c r="B35" s="101" t="str">
        <x:v>P</x:v>
      </x:c>
      <x:c r="C35" s="101" t="str">
        <x:v>医療，福祉</x:v>
      </x:c>
      <x:c r="D35" s="102" t="n">
        <x:v>5112</x:v>
      </x:c>
      <x:c r="E35" s="102" t="n">
        <x:f>1+COUNTIFS($C$4:$C$802,C35,$D$4:$D$802,"&gt;"&amp;D35)</x:f>
        <x:v>29</x:v>
      </x:c>
      <x:c r="F35" s="102" t="n">
        <x:v>1237984</x:v>
      </x:c>
      <x:c r="G35" s="126" t="n">
        <x:f>D35/F35*100000</x:f>
        <x:v>412.92940781140953</x:v>
      </x:c>
      <x:c r="H35" s="127" t="n">
        <x:f>1+COUNTIFS($C$4:$C$802,C35,$G$4:$G$802,"&gt;"&amp;G35)</x:f>
        <x:v>11</x:v>
      </x:c>
      <x:c r="I35" s="128" t="n">
        <x:f>D35/SUMIF($C$4:$C$802,C35,$D$4:$D$802)</x:f>
        <x:v>0.01105223217470829</x:v>
      </x:c>
      <x:c r="J35" s="103" t="n">
        <x:f>(D35/SUMIF($A$4:$A$802,A35,$D$4:$D$802))/(SUMIF($C$4:$C$802,C35,$D$4:$D$802)/SUM($D$4:$D$802))</x:f>
        <x:v>1.0339848199775543</x:v>
      </x:c>
    </x:row>
    <x:row r="36">
      <x:c r="A36" s="101" t="str">
        <x:v>青森県</x:v>
      </x:c>
      <x:c r="B36" s="101" t="str">
        <x:v>Q</x:v>
      </x:c>
      <x:c r="C36" s="101" t="str">
        <x:v>複合サービス事業</x:v>
      </x:c>
      <x:c r="D36" s="102" t="n">
        <x:v>453</x:v>
      </x:c>
      <x:c r="E36" s="102" t="n">
        <x:f>1+COUNTIFS($C$4:$C$802,C36,$D$4:$D$802,"&gt;"&amp;D36)</x:f>
        <x:v>33</x:v>
      </x:c>
      <x:c r="F36" s="102" t="n">
        <x:v>1237984</x:v>
      </x:c>
      <x:c r="G36" s="126" t="n">
        <x:f>D36/F36*100000</x:f>
        <x:v>36.59174916638664</x:v>
      </x:c>
      <x:c r="H36" s="127" t="n">
        <x:f>1+COUNTIFS($C$4:$C$802,C36,$G$4:$G$802,"&gt;"&amp;G36)</x:f>
        <x:v>27</x:v>
      </x:c>
      <x:c r="I36" s="128" t="n">
        <x:f>D36/SUMIF($C$4:$C$802,C36,$D$4:$D$802)</x:f>
        <x:v>0.014098534125922007</x:v>
      </x:c>
      <x:c r="J36" s="103" t="n">
        <x:f>(D36/SUMIF($A$4:$A$802,A36,$D$4:$D$802))/(SUMIF($C$4:$C$802,C36,$D$4:$D$802)/SUM($D$4:$D$802))</x:f>
        <x:v>1.3189797354690145</x:v>
      </x:c>
    </x:row>
    <x:row r="37">
      <x:c r="A37" s="101" t="str">
        <x:v>青森県</x:v>
      </x:c>
      <x:c r="B37" s="101" t="str">
        <x:v>R</x:v>
      </x:c>
      <x:c r="C37" s="101" t="str">
        <x:v>サービス業（他に分類されないもの）</x:v>
      </x:c>
      <x:c r="D37" s="102" t="n">
        <x:v>4032</x:v>
      </x:c>
      <x:c r="E37" s="102" t="n">
        <x:f>1+COUNTIFS($C$4:$C$802,C37,$D$4:$D$802,"&gt;"&amp;D37)</x:f>
        <x:v>36</x:v>
      </x:c>
      <x:c r="F37" s="102" t="n">
        <x:v>1237984</x:v>
      </x:c>
      <x:c r="G37" s="126" t="n">
        <x:f>D37/F37*100000</x:f>
        <x:v>325.6908005273089</x:v>
      </x:c>
      <x:c r="H37" s="127" t="n">
        <x:f>1+COUNTIFS($C$4:$C$802,C37,$G$4:$G$802,"&gt;"&amp;G37)</x:f>
        <x:v>26</x:v>
      </x:c>
      <x:c r="I37" s="128" t="n">
        <x:f>D37/SUMIF($C$4:$C$802,C37,$D$4:$D$802)</x:f>
        <x:v>0.010920555128219017</x:v>
      </x:c>
      <x:c r="J37" s="103" t="n">
        <x:f>(D37/SUMIF($A$4:$A$802,A37,$D$4:$D$802))/(SUMIF($C$4:$C$802,C37,$D$4:$D$802)/SUM($D$4:$D$802))</x:f>
        <x:v>1.021665854445781</x:v>
      </x:c>
    </x:row>
    <x:row r="38">
      <x:c r="A38" s="101" t="str">
        <x:v>岩手県</x:v>
      </x:c>
      <x:c r="B38" s="101" t="str">
        <x:v>AB</x:v>
      </x:c>
      <x:c r="C38" s="101" t="str">
        <x:v>農林漁業</x:v>
      </x:c>
      <x:c r="D38" s="102" t="n">
        <x:v>1114</x:v>
      </x:c>
      <x:c r="E38" s="102" t="n">
        <x:f>1+COUNTIFS($C$4:$C$802,C38,$D$4:$D$802,"&gt;"&amp;D38)</x:f>
        <x:v>8</x:v>
      </x:c>
      <x:c r="F38" s="102" t="n">
        <x:v>1210534</x:v>
      </x:c>
      <x:c r="G38" s="126" t="n">
        <x:f>D38/F38*100000</x:f>
        <x:v>92.02550279463443</x:v>
      </x:c>
      <x:c r="H38" s="127" t="n">
        <x:f>1+COUNTIFS($C$4:$C$802,C38,$G$4:$G$802,"&gt;"&amp;G38)</x:f>
        <x:v>6</x:v>
      </x:c>
      <x:c r="I38" s="128" t="n">
        <x:f>D38/SUMIF($C$4:$C$802,C38,$D$4:$D$802)</x:f>
        <x:v>0.02623769372085355</x:v>
      </x:c>
      <x:c r="J38" s="103" t="n">
        <x:f>(D38/SUMIF($A$4:$A$802,A38,$D$4:$D$802))/(SUMIF($C$4:$C$802,C38,$D$4:$D$802)/SUM($D$4:$D$802))</x:f>
        <x:v>2.4778050807616636</x:v>
      </x:c>
    </x:row>
    <x:row r="39">
      <x:c r="A39" s="101" t="str">
        <x:v>岩手県</x:v>
      </x:c>
      <x:c r="B39" s="101" t="str">
        <x:v>C</x:v>
      </x:c>
      <x:c r="C39" s="101" t="str">
        <x:v>鉱業，採石業，砂利採取業</x:v>
      </x:c>
      <x:c r="D39" s="102" t="n">
        <x:v>65</x:v>
      </x:c>
      <x:c r="E39" s="102" t="n">
        <x:f>1+COUNTIFS($C$4:$C$802,C39,$D$4:$D$802,"&gt;"&amp;D39)</x:f>
        <x:v>6</x:v>
      </x:c>
      <x:c r="F39" s="102" t="n">
        <x:v>1210534</x:v>
      </x:c>
      <x:c r="G39" s="126" t="n">
        <x:f>D39/F39*100000</x:f>
        <x:v>5.369531132541507</x:v>
      </x:c>
      <x:c r="H39" s="127" t="n">
        <x:f>1+COUNTIFS($C$4:$C$802,C39,$G$4:$G$802,"&gt;"&amp;G39)</x:f>
        <x:v>1</x:v>
      </x:c>
      <x:c r="I39" s="128" t="n">
        <x:f>D39/SUMIF($C$4:$C$802,C39,$D$4:$D$802)</x:f>
        <x:v>0.03485254691689008</x:v>
      </x:c>
      <x:c r="J39" s="103" t="n">
        <x:f>(D39/SUMIF($A$4:$A$802,A39,$D$4:$D$802))/(SUMIF($C$4:$C$802,C39,$D$4:$D$802)/SUM($D$4:$D$802))</x:f>
        <x:v>3.2913646583014216</x:v>
      </x:c>
    </x:row>
    <x:row r="40">
      <x:c r="A40" s="101" t="str">
        <x:v>岩手県</x:v>
      </x:c>
      <x:c r="B40" s="101" t="str">
        <x:v>D</x:v>
      </x:c>
      <x:c r="C40" s="101" t="str">
        <x:v>建設業</x:v>
      </x:c>
      <x:c r="D40" s="102" t="n">
        <x:v>5292</x:v>
      </x:c>
      <x:c r="E40" s="102" t="n">
        <x:f>1+COUNTIFS($C$4:$C$802,C40,$D$4:$D$802,"&gt;"&amp;D40)</x:f>
        <x:v>33</x:v>
      </x:c>
      <x:c r="F40" s="102" t="n">
        <x:v>1210534</x:v>
      </x:c>
      <x:c r="G40" s="126" t="n">
        <x:f>D40/F40*100000</x:f>
        <x:v>437.1624423601485</x:v>
      </x:c>
      <x:c r="H40" s="127" t="n">
        <x:f>1+COUNTIFS($C$4:$C$802,C40,$G$4:$G$802,"&gt;"&amp;G40)</x:f>
        <x:v>24</x:v>
      </x:c>
      <x:c r="I40" s="128" t="n">
        <x:f>D40/SUMIF($C$4:$C$802,C40,$D$4:$D$802)</x:f>
        <x:v>0.010908303874179352</x:v>
      </x:c>
      <x:c r="J40" s="103" t="n">
        <x:f>(D40/SUMIF($A$4:$A$802,A40,$D$4:$D$802))/(SUMIF($C$4:$C$802,C40,$D$4:$D$802)/SUM($D$4:$D$802))</x:f>
        <x:v>1.0301458294884944</x:v>
      </x:c>
    </x:row>
    <x:row r="41">
      <x:c r="A41" s="101" t="str">
        <x:v>岩手県</x:v>
      </x:c>
      <x:c r="B41" s="101" t="str">
        <x:v>E</x:v>
      </x:c>
      <x:c r="C41" s="101" t="str">
        <x:v>製造業</x:v>
      </x:c>
      <x:c r="D41" s="102" t="n">
        <x:v>3483</x:v>
      </x:c>
      <x:c r="E41" s="102" t="n">
        <x:f>1+COUNTIFS($C$4:$C$802,C41,$D$4:$D$802,"&gt;"&amp;D41)</x:f>
        <x:v>36</x:v>
      </x:c>
      <x:c r="F41" s="102" t="n">
        <x:v>1210534</x:v>
      </x:c>
      <x:c r="G41" s="126" t="n">
        <x:f>D41/F41*100000</x:f>
        <x:v>287.7242605329549</x:v>
      </x:c>
      <x:c r="H41" s="127" t="n">
        <x:f>1+COUNTIFS($C$4:$C$802,C41,$G$4:$G$802,"&gt;"&amp;G41)</x:f>
        <x:v>32</x:v>
      </x:c>
      <x:c r="I41" s="128" t="n">
        <x:f>D41/SUMIF($C$4:$C$802,C41,$D$4:$D$802)</x:f>
        <x:v>0.008441242120416755</x:v>
      </x:c>
      <x:c r="J41" s="103" t="n">
        <x:f>(D41/SUMIF($A$4:$A$802,A41,$D$4:$D$802))/(SUMIF($C$4:$C$802,C41,$D$4:$D$802)/SUM($D$4:$D$802))</x:f>
        <x:v>0.7971642948665221</x:v>
      </x:c>
    </x:row>
    <x:row r="42">
      <x:c r="A42" s="101" t="str">
        <x:v>岩手県</x:v>
      </x:c>
      <x:c r="B42" s="101" t="str">
        <x:v>F</x:v>
      </x:c>
      <x:c r="C42" s="101" t="str">
        <x:v>電気・ガス・熱供給・水道業</x:v>
      </x:c>
      <x:c r="D42" s="102" t="n">
        <x:v>102</x:v>
      </x:c>
      <x:c r="E42" s="102" t="n">
        <x:f>1+COUNTIFS($C$4:$C$802,C42,$D$4:$D$802,"&gt;"&amp;D42)</x:f>
        <x:v>33</x:v>
      </x:c>
      <x:c r="F42" s="102" t="n">
        <x:v>1210534</x:v>
      </x:c>
      <x:c r="G42" s="126" t="n">
        <x:f>D42/F42*100000</x:f>
        <x:v>8.426033469526672</x:v>
      </x:c>
      <x:c r="H42" s="127" t="n">
        <x:f>1+COUNTIFS($C$4:$C$802,C42,$G$4:$G$802,"&gt;"&amp;G42)</x:f>
        <x:v>25</x:v>
      </x:c>
      <x:c r="I42" s="128" t="n">
        <x:f>D42/SUMIF($C$4:$C$802,C42,$D$4:$D$802)</x:f>
        <x:v>0.011160958529379582</x:v>
      </x:c>
      <x:c r="J42" s="103" t="n">
        <x:f>(D42/SUMIF($A$4:$A$802,A42,$D$4:$D$802))/(SUMIF($C$4:$C$802,C42,$D$4:$D$802)/SUM($D$4:$D$802))</x:f>
        <x:v>1.054005738632706</x:v>
      </x:c>
    </x:row>
    <x:row r="43">
      <x:c r="A43" s="101" t="str">
        <x:v>岩手県</x:v>
      </x:c>
      <x:c r="B43" s="101" t="str">
        <x:v>G</x:v>
      </x:c>
      <x:c r="C43" s="101" t="str">
        <x:v>情報通信業</x:v>
      </x:c>
      <x:c r="D43" s="102" t="n">
        <x:v>433</x:v>
      </x:c>
      <x:c r="E43" s="102" t="n">
        <x:f>1+COUNTIFS($C$4:$C$802,C43,$D$4:$D$802,"&gt;"&amp;D43)</x:f>
        <x:v>30</x:v>
      </x:c>
      <x:c r="F43" s="102" t="n">
        <x:v>1210534</x:v>
      </x:c>
      <x:c r="G43" s="126" t="n">
        <x:f>D43/F43*100000</x:f>
        <x:v>35.76933815985342</x:v>
      </x:c>
      <x:c r="H43" s="127" t="n">
        <x:f>1+COUNTIFS($C$4:$C$802,C43,$G$4:$G$802,"&gt;"&amp;G43)</x:f>
        <x:v>24</x:v>
      </x:c>
      <x:c r="I43" s="128" t="n">
        <x:f>D43/SUMIF($C$4:$C$802,C43,$D$4:$D$802)</x:f>
        <x:v>0.005655768753510365</x:v>
      </x:c>
      <x:c r="J43" s="103" t="n">
        <x:f>(D43/SUMIF($A$4:$A$802,A43,$D$4:$D$802))/(SUMIF($C$4:$C$802,C43,$D$4:$D$802)/SUM($D$4:$D$802))</x:f>
        <x:v>0.5341129712907233</x:v>
      </x:c>
    </x:row>
    <x:row r="44">
      <x:c r="A44" s="101" t="str">
        <x:v>岩手県</x:v>
      </x:c>
      <x:c r="B44" s="101" t="str">
        <x:v>H</x:v>
      </x:c>
      <x:c r="C44" s="101" t="str">
        <x:v>運輸業，郵便業</x:v>
      </x:c>
      <x:c r="D44" s="102" t="n">
        <x:v>1418</x:v>
      </x:c>
      <x:c r="E44" s="102" t="n">
        <x:f>1+COUNTIFS($C$4:$C$802,C44,$D$4:$D$802,"&gt;"&amp;D44)</x:f>
        <x:v>27</x:v>
      </x:c>
      <x:c r="F44" s="102" t="n">
        <x:v>1210534</x:v>
      </x:c>
      <x:c r="G44" s="126" t="n">
        <x:f>D44/F44*100000</x:f>
        <x:v>117.13838686067471</x:v>
      </x:c>
      <x:c r="H44" s="127" t="n">
        <x:f>1+COUNTIFS($C$4:$C$802,C44,$G$4:$G$802,"&gt;"&amp;G44)</x:f>
        <x:v>8</x:v>
      </x:c>
      <x:c r="I44" s="128" t="n">
        <x:f>D44/SUMIF($C$4:$C$802,C44,$D$4:$D$802)</x:f>
        <x:v>0.011058772148739706</x:v>
      </x:c>
      <x:c r="J44" s="103" t="n">
        <x:f>(D44/SUMIF($A$4:$A$802,A44,$D$4:$D$802))/(SUMIF($C$4:$C$802,C44,$D$4:$D$802)/SUM($D$4:$D$802))</x:f>
        <x:v>1.044355578987276</x:v>
      </x:c>
    </x:row>
    <x:row r="45">
      <x:c r="A45" s="101" t="str">
        <x:v>岩手県</x:v>
      </x:c>
      <x:c r="B45" s="101" t="str">
        <x:v>I</x:v>
      </x:c>
      <x:c r="C45" s="101" t="str">
        <x:v>卸売業，小売業</x:v>
      </x:c>
      <x:c r="D45" s="102" t="n">
        <x:v>13678</x:v>
      </x:c>
      <x:c r="E45" s="102" t="n">
        <x:f>1+COUNTIFS($C$4:$C$802,C45,$D$4:$D$802,"&gt;"&amp;D45)</x:f>
        <x:v>31</x:v>
      </x:c>
      <x:c r="F45" s="102" t="n">
        <x:v>1210534</x:v>
      </x:c>
      <x:c r="G45" s="126" t="n">
        <x:f>D45/F45*100000</x:f>
        <x:v>1129.9145666292727</x:v>
      </x:c>
      <x:c r="H45" s="127" t="n">
        <x:f>1+COUNTIFS($C$4:$C$802,C45,$G$4:$G$802,"&gt;"&amp;G45)</x:f>
        <x:v>19</x:v>
      </x:c>
      <x:c r="I45" s="128" t="n">
        <x:f>D45/SUMIF($C$4:$C$802,C45,$D$4:$D$802)</x:f>
        <x:v>0.011130097972203235</x:v>
      </x:c>
      <x:c r="J45" s="103" t="n">
        <x:f>(D45/SUMIF($A$4:$A$802,A45,$D$4:$D$802))/(SUMIF($C$4:$C$802,C45,$D$4:$D$802)/SUM($D$4:$D$802))</x:f>
        <x:v>1.0510913649007678</x:v>
      </x:c>
    </x:row>
    <x:row r="46">
      <x:c r="A46" s="101" t="str">
        <x:v>岩手県</x:v>
      </x:c>
      <x:c r="B46" s="101" t="str">
        <x:v>J</x:v>
      </x:c>
      <x:c r="C46" s="101" t="str">
        <x:v>金融業，保険業</x:v>
      </x:c>
      <x:c r="D46" s="102" t="n">
        <x:v>951</x:v>
      </x:c>
      <x:c r="E46" s="102" t="n">
        <x:f>1+COUNTIFS($C$4:$C$802,C46,$D$4:$D$802,"&gt;"&amp;D46)</x:f>
        <x:v>30</x:v>
      </x:c>
      <x:c r="F46" s="102" t="n">
        <x:v>1210534</x:v>
      </x:c>
      <x:c r="G46" s="126" t="n">
        <x:f>D46/F46*100000</x:f>
        <x:v>78.56037087764572</x:v>
      </x:c>
      <x:c r="H46" s="127" t="n">
        <x:f>1+COUNTIFS($C$4:$C$802,C46,$G$4:$G$802,"&gt;"&amp;G46)</x:f>
        <x:v>17</x:v>
      </x:c>
      <x:c r="I46" s="128" t="n">
        <x:f>D46/SUMIF($C$4:$C$802,C46,$D$4:$D$802)</x:f>
        <x:v>0.011341411057577636</x:v>
      </x:c>
      <x:c r="J46" s="103" t="n">
        <x:f>(D46/SUMIF($A$4:$A$802,A46,$D$4:$D$802))/(SUMIF($C$4:$C$802,C46,$D$4:$D$802)/SUM($D$4:$D$802))</x:f>
        <x:v>1.0710471065197795</x:v>
      </x:c>
    </x:row>
    <x:row r="47">
      <x:c r="A47" s="101" t="str">
        <x:v>岩手県</x:v>
      </x:c>
      <x:c r="B47" s="101" t="str">
        <x:v>K</x:v>
      </x:c>
      <x:c r="C47" s="101" t="str">
        <x:v>不動産業，物品賃貸業</x:v>
      </x:c>
      <x:c r="D47" s="102" t="n">
        <x:v>3742</x:v>
      </x:c>
      <x:c r="E47" s="102" t="n">
        <x:f>1+COUNTIFS($C$4:$C$802,C47,$D$4:$D$802,"&gt;"&amp;D47)</x:f>
        <x:v>24</x:v>
      </x:c>
      <x:c r="F47" s="102" t="n">
        <x:v>1210534</x:v>
      </x:c>
      <x:c r="G47" s="126" t="n">
        <x:f>D47/F47*100000</x:f>
        <x:v>309.119776891851</x:v>
      </x:c>
      <x:c r="H47" s="127" t="n">
        <x:f>1+COUNTIFS($C$4:$C$802,C47,$G$4:$G$802,"&gt;"&amp;G47)</x:f>
        <x:v>10</x:v>
      </x:c>
      <x:c r="I47" s="128" t="n">
        <x:f>D47/SUMIF($C$4:$C$802,C47,$D$4:$D$802)</x:f>
        <x:v>0.009993163415728416</x:v>
      </x:c>
      <x:c r="J47" s="103" t="n">
        <x:f>(D47/SUMIF($A$4:$A$802,A47,$D$4:$D$802))/(SUMIF($C$4:$C$802,C47,$D$4:$D$802)/SUM($D$4:$D$802))</x:f>
        <x:v>0.9437228495694148</x:v>
      </x:c>
    </x:row>
    <x:row r="48">
      <x:c r="A48" s="101" t="str">
        <x:v>岩手県</x:v>
      </x:c>
      <x:c r="B48" s="101" t="str">
        <x:v>L</x:v>
      </x:c>
      <x:c r="C48" s="101" t="str">
        <x:v>学術研究，専門・技術サービス業</x:v>
      </x:c>
      <x:c r="D48" s="102" t="n">
        <x:v>1978</x:v>
      </x:c>
      <x:c r="E48" s="102" t="n">
        <x:f>1+COUNTIFS($C$4:$C$802,C48,$D$4:$D$802,"&gt;"&amp;D48)</x:f>
        <x:v>33</x:v>
      </x:c>
      <x:c r="F48" s="102" t="n">
        <x:v>1210534</x:v>
      </x:c>
      <x:c r="G48" s="126" t="n">
        <x:f>D48/F48*100000</x:f>
        <x:v>163.39896277180154</x:v>
      </x:c>
      <x:c r="H48" s="127" t="n">
        <x:f>1+COUNTIFS($C$4:$C$802,C48,$G$4:$G$802,"&gt;"&amp;G48)</x:f>
        <x:v>38</x:v>
      </x:c>
      <x:c r="I48" s="128" t="n">
        <x:f>D48/SUMIF($C$4:$C$802,C48,$D$4:$D$802)</x:f>
        <x:v>0.00783863041927558</x:v>
      </x:c>
      <x:c r="J48" s="103" t="n">
        <x:f>(D48/SUMIF($A$4:$A$802,A48,$D$4:$D$802))/(SUMIF($C$4:$C$802,C48,$D$4:$D$802)/SUM($D$4:$D$802))</x:f>
        <x:v>0.7402555455419852</x:v>
      </x:c>
    </x:row>
    <x:row r="49">
      <x:c r="A49" s="101" t="str">
        <x:v>岩手県</x:v>
      </x:c>
      <x:c r="B49" s="101" t="str">
        <x:v>M</x:v>
      </x:c>
      <x:c r="C49" s="101" t="str">
        <x:v>宿泊業，飲食サービス業</x:v>
      </x:c>
      <x:c r="D49" s="102" t="n">
        <x:v>6058</x:v>
      </x:c>
      <x:c r="E49" s="102" t="n">
        <x:f>1+COUNTIFS($C$4:$C$802,C49,$D$4:$D$802,"&gt;"&amp;D49)</x:f>
        <x:v>32</x:v>
      </x:c>
      <x:c r="F49" s="102" t="n">
        <x:v>1210534</x:v>
      </x:c>
      <x:c r="G49" s="126" t="n">
        <x:f>D49/F49*100000</x:f>
        <x:v>500.44030155286845</x:v>
      </x:c>
      <x:c r="H49" s="127" t="n">
        <x:f>1+COUNTIFS($C$4:$C$802,C49,$G$4:$G$802,"&gt;"&amp;G49)</x:f>
        <x:v>26</x:v>
      </x:c>
      <x:c r="I49" s="128" t="n">
        <x:f>D49/SUMIF($C$4:$C$802,C49,$D$4:$D$802)</x:f>
        <x:v>0.01011254335974146</x:v>
      </x:c>
      <x:c r="J49" s="103" t="n">
        <x:f>(D49/SUMIF($A$4:$A$802,A49,$D$4:$D$802))/(SUMIF($C$4:$C$802,C49,$D$4:$D$802)/SUM($D$4:$D$802))</x:f>
        <x:v>0.9549967151371596</x:v>
      </x:c>
    </x:row>
    <x:row r="50">
      <x:c r="A50" s="101" t="str">
        <x:v>岩手県</x:v>
      </x:c>
      <x:c r="B50" s="101" t="str">
        <x:v>N</x:v>
      </x:c>
      <x:c r="C50" s="101" t="str">
        <x:v>生活関連サービス業，娯楽業</x:v>
      </x:c>
      <x:c r="D50" s="102" t="n">
        <x:v>5450</x:v>
      </x:c>
      <x:c r="E50" s="102" t="n">
        <x:f>1+COUNTIFS($C$4:$C$802,C50,$D$4:$D$802,"&gt;"&amp;D50)</x:f>
        <x:v>28</x:v>
      </x:c>
      <x:c r="F50" s="102" t="n">
        <x:v>1210534</x:v>
      </x:c>
      <x:c r="G50" s="126" t="n">
        <x:f>D50/F50*100000</x:f>
        <x:v>450.21453342078786</x:v>
      </x:c>
      <x:c r="H50" s="127" t="n">
        <x:f>1+COUNTIFS($C$4:$C$802,C50,$G$4:$G$802,"&gt;"&amp;G50)</x:f>
        <x:v>5</x:v>
      </x:c>
      <x:c r="I50" s="128" t="n">
        <x:f>D50/SUMIF($C$4:$C$802,C50,$D$4:$D$802)</x:f>
        <x:v>0.012551559272147744</x:v>
      </x:c>
      <x:c r="J50" s="103" t="n">
        <x:f>(D50/SUMIF($A$4:$A$802,A50,$D$4:$D$802))/(SUMIF($C$4:$C$802,C50,$D$4:$D$802)/SUM($D$4:$D$802))</x:f>
        <x:v>1.1853296889158562</x:v>
      </x:c>
    </x:row>
    <x:row r="51">
      <x:c r="A51" s="101" t="str">
        <x:v>岩手県</x:v>
      </x:c>
      <x:c r="B51" s="101" t="str">
        <x:v>O</x:v>
      </x:c>
      <x:c r="C51" s="101" t="str">
        <x:v>教育，学習支援業</x:v>
      </x:c>
      <x:c r="D51" s="102" t="n">
        <x:v>1331</x:v>
      </x:c>
      <x:c r="E51" s="102" t="n">
        <x:f>1+COUNTIFS($C$4:$C$802,C51,$D$4:$D$802,"&gt;"&amp;D51)</x:f>
        <x:v>37</x:v>
      </x:c>
      <x:c r="F51" s="102" t="n">
        <x:v>1210534</x:v>
      </x:c>
      <x:c r="G51" s="126" t="n">
        <x:f>D51/F51*100000</x:f>
        <x:v>109.95147596019608</x:v>
      </x:c>
      <x:c r="H51" s="127" t="n">
        <x:f>1+COUNTIFS($C$4:$C$802,C51,$G$4:$G$802,"&gt;"&amp;G51)</x:f>
        <x:v>44</x:v>
      </x:c>
      <x:c r="I51" s="128" t="n">
        <x:f>D51/SUMIF($C$4:$C$802,C51,$D$4:$D$802)</x:f>
        <x:v>0.008147798992390898</x:v>
      </x:c>
      <x:c r="J51" s="103" t="n">
        <x:f>(D51/SUMIF($A$4:$A$802,A51,$D$4:$D$802))/(SUMIF($C$4:$C$802,C51,$D$4:$D$802)/SUM($D$4:$D$802))</x:f>
        <x:v>0.7694524509341734</x:v>
      </x:c>
    </x:row>
    <x:row r="52">
      <x:c r="A52" s="101" t="str">
        <x:v>岩手県</x:v>
      </x:c>
      <x:c r="B52" s="101" t="str">
        <x:v>P</x:v>
      </x:c>
      <x:c r="C52" s="101" t="str">
        <x:v>医療，福祉</x:v>
      </x:c>
      <x:c r="D52" s="102" t="n">
        <x:v>4971</x:v>
      </x:c>
      <x:c r="E52" s="102" t="n">
        <x:f>1+COUNTIFS($C$4:$C$802,C52,$D$4:$D$802,"&gt;"&amp;D52)</x:f>
        <x:v>30</x:v>
      </x:c>
      <x:c r="F52" s="102" t="n">
        <x:v>1210534</x:v>
      </x:c>
      <x:c r="G52" s="126" t="n">
        <x:f>D52/F52*100000</x:f>
        <x:v>410.6452193825204</x:v>
      </x:c>
      <x:c r="H52" s="127" t="n">
        <x:f>1+COUNTIFS($C$4:$C$802,C52,$G$4:$G$802,"&gt;"&amp;G52)</x:f>
        <x:v>13</x:v>
      </x:c>
      <x:c r="I52" s="128" t="n">
        <x:f>D52/SUMIF($C$4:$C$802,C52,$D$4:$D$802)</x:f>
        <x:v>0.01074738774265941</x:v>
      </x:c>
      <x:c r="J52" s="103" t="n">
        <x:f>(D52/SUMIF($A$4:$A$802,A52,$D$4:$D$802))/(SUMIF($C$4:$C$802,C52,$D$4:$D$802)/SUM($D$4:$D$802))</x:f>
        <x:v>1.0149494173152809</x:v>
      </x:c>
    </x:row>
    <x:row r="53">
      <x:c r="A53" s="101" t="str">
        <x:v>岩手県</x:v>
      </x:c>
      <x:c r="B53" s="101" t="str">
        <x:v>Q</x:v>
      </x:c>
      <x:c r="C53" s="101" t="str">
        <x:v>複合サービス事業</x:v>
      </x:c>
      <x:c r="D53" s="102" t="n">
        <x:v>512</x:v>
      </x:c>
      <x:c r="E53" s="102" t="n">
        <x:f>1+COUNTIFS($C$4:$C$802,C53,$D$4:$D$802,"&gt;"&amp;D53)</x:f>
        <x:v>28</x:v>
      </x:c>
      <x:c r="F53" s="102" t="n">
        <x:v>1210534</x:v>
      </x:c>
      <x:c r="G53" s="126" t="n">
        <x:f>D53/F53*100000</x:f>
        <x:v>42.2953836901731</x:v>
      </x:c>
      <x:c r="H53" s="127" t="n">
        <x:f>1+COUNTIFS($C$4:$C$802,C53,$G$4:$G$802,"&gt;"&amp;G53)</x:f>
        <x:v>15</x:v>
      </x:c>
      <x:c r="I53" s="128" t="n">
        <x:f>D53/SUMIF($C$4:$C$802,C53,$D$4:$D$802)</x:f>
        <x:v>0.015934767047399708</x:v>
      </x:c>
      <x:c r="J53" s="103" t="n">
        <x:f>(D53/SUMIF($A$4:$A$802,A53,$D$4:$D$802))/(SUMIF($C$4:$C$802,C53,$D$4:$D$802)/SUM($D$4:$D$802))</x:f>
        <x:v>1.5048291656602235</x:v>
      </x:c>
    </x:row>
    <x:row r="54">
      <x:c r="A54" s="101" t="str">
        <x:v>岩手県</x:v>
      </x:c>
      <x:c r="B54" s="101" t="str">
        <x:v>R</x:v>
      </x:c>
      <x:c r="C54" s="101" t="str">
        <x:v>サービス業（他に分類されないもの）</x:v>
      </x:c>
      <x:c r="D54" s="102" t="n">
        <x:v>4020</x:v>
      </x:c>
      <x:c r="E54" s="102" t="n">
        <x:f>1+COUNTIFS($C$4:$C$802,C54,$D$4:$D$802,"&gt;"&amp;D54)</x:f>
        <x:v>37</x:v>
      </x:c>
      <x:c r="F54" s="102" t="n">
        <x:v>1210534</x:v>
      </x:c>
      <x:c r="G54" s="126" t="n">
        <x:f>D54/F54*100000</x:f>
        <x:v>332.08484850487474</x:v>
      </x:c>
      <x:c r="H54" s="127" t="n">
        <x:f>1+COUNTIFS($C$4:$C$802,C54,$G$4:$G$802,"&gt;"&amp;G54)</x:f>
        <x:v>23</x:v>
      </x:c>
      <x:c r="I54" s="128" t="n">
        <x:f>D54/SUMIF($C$4:$C$802,C54,$D$4:$D$802)</x:f>
        <x:v>0.0108880534760517</x:v>
      </x:c>
      <x:c r="J54" s="103" t="n">
        <x:f>(D54/SUMIF($A$4:$A$802,A54,$D$4:$D$802))/(SUMIF($C$4:$C$802,C54,$D$4:$D$802)/SUM($D$4:$D$802))</x:f>
        <x:v>1.0282334457286266</x:v>
      </x:c>
    </x:row>
    <x:row r="55">
      <x:c r="A55" s="101" t="str">
        <x:v>宮城県</x:v>
      </x:c>
      <x:c r="B55" s="101" t="str">
        <x:v>AB</x:v>
      </x:c>
      <x:c r="C55" s="101" t="str">
        <x:v>農林漁業</x:v>
      </x:c>
      <x:c r="D55" s="102" t="n">
        <x:v>959</x:v>
      </x:c>
      <x:c r="E55" s="102" t="n">
        <x:f>1+COUNTIFS($C$4:$C$802,C55,$D$4:$D$802,"&gt;"&amp;D55)</x:f>
        <x:v>14</x:v>
      </x:c>
      <x:c r="F55" s="102" t="n">
        <x:v>2301996</x:v>
      </x:c>
      <x:c r="G55" s="126" t="n">
        <x:f>D55/F55*100000</x:f>
        <x:v>41.65949897393393</x:v>
      </x:c>
      <x:c r="H55" s="127" t="n">
        <x:f>1+COUNTIFS($C$4:$C$802,C55,$G$4:$G$802,"&gt;"&amp;G55)</x:f>
        <x:v>31</x:v>
      </x:c>
      <x:c r="I55" s="128" t="n">
        <x:f>D55/SUMIF($C$4:$C$802,C55,$D$4:$D$802)</x:f>
        <x:v>0.022587027179801215</x:v>
      </x:c>
      <x:c r="J55" s="103" t="n">
        <x:f>(D55/SUMIF($A$4:$A$802,A55,$D$4:$D$802))/(SUMIF($C$4:$C$802,C55,$D$4:$D$802)/SUM($D$4:$D$802))</x:f>
        <x:v>1.2219729827581702</x:v>
      </x:c>
    </x:row>
    <x:row r="56">
      <x:c r="A56" s="101" t="str">
        <x:v>宮城県</x:v>
      </x:c>
      <x:c r="B56" s="101" t="str">
        <x:v>C</x:v>
      </x:c>
      <x:c r="C56" s="101" t="str">
        <x:v>鉱業，採石業，砂利採取業</x:v>
      </x:c>
      <x:c r="D56" s="102" t="n">
        <x:v>60</x:v>
      </x:c>
      <x:c r="E56" s="102" t="n">
        <x:f>1+COUNTIFS($C$4:$C$802,C56,$D$4:$D$802,"&gt;"&amp;D56)</x:f>
        <x:v>9</x:v>
      </x:c>
      <x:c r="F56" s="102" t="n">
        <x:v>2301996</x:v>
      </x:c>
      <x:c r="G56" s="126" t="n">
        <x:f>D56/F56*100000</x:f>
        <x:v>2.606433720996909</x:v>
      </x:c>
      <x:c r="H56" s="127" t="n">
        <x:f>1+COUNTIFS($C$4:$C$802,C56,$G$4:$G$802,"&gt;"&amp;G56)</x:f>
        <x:v>15</x:v>
      </x:c>
      <x:c r="I56" s="128" t="n">
        <x:f>D56/SUMIF($C$4:$C$802,C56,$D$4:$D$802)</x:f>
        <x:v>0.032171581769437</x:v>
      </x:c>
      <x:c r="J56" s="103" t="n">
        <x:f>(D56/SUMIF($A$4:$A$802,A56,$D$4:$D$802))/(SUMIF($C$4:$C$802,C56,$D$4:$D$802)/SUM($D$4:$D$802))</x:f>
        <x:v>1.740503671505888</x:v>
      </x:c>
    </x:row>
    <x:row r="57">
      <x:c r="A57" s="101" t="str">
        <x:v>宮城県</x:v>
      </x:c>
      <x:c r="B57" s="101" t="str">
        <x:v>D</x:v>
      </x:c>
      <x:c r="C57" s="101" t="str">
        <x:v>建設業</x:v>
      </x:c>
      <x:c r="D57" s="102" t="n">
        <x:v>10458</x:v>
      </x:c>
      <x:c r="E57" s="102" t="n">
        <x:f>1+COUNTIFS($C$4:$C$802,C57,$D$4:$D$802,"&gt;"&amp;D57)</x:f>
        <x:v>15</x:v>
      </x:c>
      <x:c r="F57" s="102" t="n">
        <x:v>2301996</x:v>
      </x:c>
      <x:c r="G57" s="126" t="n">
        <x:f>D57/F57*100000</x:f>
        <x:v>454.30139756976126</x:v>
      </x:c>
      <x:c r="H57" s="127" t="n">
        <x:f>1+COUNTIFS($C$4:$C$802,C57,$G$4:$G$802,"&gt;"&amp;G57)</x:f>
        <x:v>17</x:v>
      </x:c>
      <x:c r="I57" s="128" t="n">
        <x:f>D57/SUMIF($C$4:$C$802,C57,$D$4:$D$802)</x:f>
        <x:v>0.02155688622754491</x:v>
      </x:c>
      <x:c r="J57" s="103" t="n">
        <x:f>(D57/SUMIF($A$4:$A$802,A57,$D$4:$D$802))/(SUMIF($C$4:$C$802,C57,$D$4:$D$802)/SUM($D$4:$D$802))</x:f>
        <x:v>1.1662416816856818</x:v>
      </x:c>
    </x:row>
    <x:row r="58">
      <x:c r="A58" s="101" t="str">
        <x:v>宮城県</x:v>
      </x:c>
      <x:c r="B58" s="101" t="str">
        <x:v>E</x:v>
      </x:c>
      <x:c r="C58" s="101" t="str">
        <x:v>製造業</x:v>
      </x:c>
      <x:c r="D58" s="102" t="n">
        <x:v>5087</x:v>
      </x:c>
      <x:c r="E58" s="102" t="n">
        <x:f>1+COUNTIFS($C$4:$C$802,C58,$D$4:$D$802,"&gt;"&amp;D58)</x:f>
        <x:v>24</x:v>
      </x:c>
      <x:c r="F58" s="102" t="n">
        <x:v>2301996</x:v>
      </x:c>
      <x:c r="G58" s="126" t="n">
        <x:f>D58/F58*100000</x:f>
        <x:v>220.98213897852125</x:v>
      </x:c>
      <x:c r="H58" s="127" t="n">
        <x:f>1+COUNTIFS($C$4:$C$802,C58,$G$4:$G$802,"&gt;"&amp;G58)</x:f>
        <x:v>42</x:v>
      </x:c>
      <x:c r="I58" s="128" t="n">
        <x:f>D58/SUMIF($C$4:$C$802,C58,$D$4:$D$802)</x:f>
        <x:v>0.012328624365937419</x:v>
      </x:c>
      <x:c r="J58" s="103" t="n">
        <x:f>(D58/SUMIF($A$4:$A$802,A58,$D$4:$D$802))/(SUMIF($C$4:$C$802,C58,$D$4:$D$802)/SUM($D$4:$D$802))</x:f>
        <x:v>0.666986663177256</x:v>
      </x:c>
    </x:row>
    <x:row r="59">
      <x:c r="A59" s="101" t="str">
        <x:v>宮城県</x:v>
      </x:c>
      <x:c r="B59" s="101" t="str">
        <x:v>F</x:v>
      </x:c>
      <x:c r="C59" s="101" t="str">
        <x:v>電気・ガス・熱供給・水道業</x:v>
      </x:c>
      <x:c r="D59" s="102" t="n">
        <x:v>131</x:v>
      </x:c>
      <x:c r="E59" s="102" t="n">
        <x:f>1+COUNTIFS($C$4:$C$802,C59,$D$4:$D$802,"&gt;"&amp;D59)</x:f>
        <x:v>28</x:v>
      </x:c>
      <x:c r="F59" s="102" t="n">
        <x:v>2301996</x:v>
      </x:c>
      <x:c r="G59" s="126" t="n">
        <x:f>D59/F59*100000</x:f>
        <x:v>5.690713624176585</x:v>
      </x:c>
      <x:c r="H59" s="127" t="n">
        <x:f>1+COUNTIFS($C$4:$C$802,C59,$G$4:$G$802,"&gt;"&amp;G59)</x:f>
        <x:v>39</x:v>
      </x:c>
      <x:c r="I59" s="128" t="n">
        <x:f>D59/SUMIF($C$4:$C$802,C59,$D$4:$D$802)</x:f>
        <x:v>0.014334172228909071</x:v>
      </x:c>
      <x:c r="J59" s="103" t="n">
        <x:f>(D59/SUMIF($A$4:$A$802,A59,$D$4:$D$802))/(SUMIF($C$4:$C$802,C59,$D$4:$D$802)/SUM($D$4:$D$802))</x:f>
        <x:v>0.7754881177808677</x:v>
      </x:c>
    </x:row>
    <x:row r="60">
      <x:c r="A60" s="101" t="str">
        <x:v>宮城県</x:v>
      </x:c>
      <x:c r="B60" s="101" t="str">
        <x:v>G</x:v>
      </x:c>
      <x:c r="C60" s="101" t="str">
        <x:v>情報通信業</x:v>
      </x:c>
      <x:c r="D60" s="102" t="n">
        <x:v>1145</x:v>
      </x:c>
      <x:c r="E60" s="102" t="n">
        <x:f>1+COUNTIFS($C$4:$C$802,C60,$D$4:$D$802,"&gt;"&amp;D60)</x:f>
        <x:v>13</x:v>
      </x:c>
      <x:c r="F60" s="102" t="n">
        <x:v>2301996</x:v>
      </x:c>
      <x:c r="G60" s="126" t="n">
        <x:f>D60/F60*100000</x:f>
        <x:v>49.73944350902434</x:v>
      </x:c>
      <x:c r="H60" s="127" t="n">
        <x:f>1+COUNTIFS($C$4:$C$802,C60,$G$4:$G$802,"&gt;"&amp;G60)</x:f>
        <x:v>8</x:v>
      </x:c>
      <x:c r="I60" s="128" t="n">
        <x:f>D60/SUMIF($C$4:$C$802,C60,$D$4:$D$802)</x:f>
        <x:v>0.014955785733878447</x:v>
      </x:c>
      <x:c r="J60" s="103" t="n">
        <x:f>(D60/SUMIF($A$4:$A$802,A60,$D$4:$D$802))/(SUMIF($C$4:$C$802,C60,$D$4:$D$802)/SUM($D$4:$D$802))</x:f>
        <x:v>0.8091178160472012</x:v>
      </x:c>
    </x:row>
    <x:row r="61">
      <x:c r="A61" s="101" t="str">
        <x:v>宮城県</x:v>
      </x:c>
      <x:c r="B61" s="101" t="str">
        <x:v>H</x:v>
      </x:c>
      <x:c r="C61" s="101" t="str">
        <x:v>運輸業，郵便業</x:v>
      </x:c>
      <x:c r="D61" s="102" t="n">
        <x:v>2818</x:v>
      </x:c>
      <x:c r="E61" s="102" t="n">
        <x:f>1+COUNTIFS($C$4:$C$802,C61,$D$4:$D$802,"&gt;"&amp;D61)</x:f>
        <x:v>13</x:v>
      </x:c>
      <x:c r="F61" s="102" t="n">
        <x:v>2301996</x:v>
      </x:c>
      <x:c r="G61" s="126" t="n">
        <x:f>D61/F61*100000</x:f>
        <x:v>122.41550376282147</x:v>
      </x:c>
      <x:c r="H61" s="127" t="n">
        <x:f>1+COUNTIFS($C$4:$C$802,C61,$G$4:$G$802,"&gt;"&amp;G61)</x:f>
        <x:v>6</x:v>
      </x:c>
      <x:c r="I61" s="128" t="n">
        <x:f>D61/SUMIF($C$4:$C$802,C61,$D$4:$D$802)</x:f>
        <x:v>0.021977164961317693</x:v>
      </x:c>
      <x:c r="J61" s="103" t="n">
        <x:f>(D61/SUMIF($A$4:$A$802,A61,$D$4:$D$802))/(SUMIF($C$4:$C$802,C61,$D$4:$D$802)/SUM($D$4:$D$802))</x:f>
        <x:v>1.1889790367970892</x:v>
      </x:c>
    </x:row>
    <x:row r="62">
      <x:c r="A62" s="101" t="str">
        <x:v>宮城県</x:v>
      </x:c>
      <x:c r="B62" s="101" t="str">
        <x:v>I</x:v>
      </x:c>
      <x:c r="C62" s="101" t="str">
        <x:v>卸売業，小売業</x:v>
      </x:c>
      <x:c r="D62" s="102" t="n">
        <x:v>25004</x:v>
      </x:c>
      <x:c r="E62" s="102" t="n">
        <x:f>1+COUNTIFS($C$4:$C$802,C62,$D$4:$D$802,"&gt;"&amp;D62)</x:f>
        <x:v>15</x:v>
      </x:c>
      <x:c r="F62" s="102" t="n">
        <x:v>2301996</x:v>
      </x:c>
      <x:c r="G62" s="126" t="n">
        <x:f>D62/F62*100000</x:f>
        <x:v>1086.1878126634451</x:v>
      </x:c>
      <x:c r="H62" s="127" t="n">
        <x:f>1+COUNTIFS($C$4:$C$802,C62,$G$4:$G$802,"&gt;"&amp;G62)</x:f>
        <x:v>26</x:v>
      </x:c>
      <x:c r="I62" s="128" t="n">
        <x:f>D62/SUMIF($C$4:$C$802,C62,$D$4:$D$802)</x:f>
        <x:v>0.020346320346320345</x:v>
      </x:c>
      <x:c r="J62" s="103" t="n">
        <x:f>(D62/SUMIF($A$4:$A$802,A62,$D$4:$D$802))/(SUMIF($C$4:$C$802,C62,$D$4:$D$802)/SUM($D$4:$D$802))</x:f>
        <x:v>1.1007492736352713</x:v>
      </x:c>
    </x:row>
    <x:row r="63">
      <x:c r="A63" s="101" t="str">
        <x:v>宮城県</x:v>
      </x:c>
      <x:c r="B63" s="101" t="str">
        <x:v>J</x:v>
      </x:c>
      <x:c r="C63" s="101" t="str">
        <x:v>金融業，保険業</x:v>
      </x:c>
      <x:c r="D63" s="102" t="n">
        <x:v>1547</x:v>
      </x:c>
      <x:c r="E63" s="102" t="n">
        <x:f>1+COUNTIFS($C$4:$C$802,C63,$D$4:$D$802,"&gt;"&amp;D63)</x:f>
        <x:v>13</x:v>
      </x:c>
      <x:c r="F63" s="102" t="n">
        <x:v>2301996</x:v>
      </x:c>
      <x:c r="G63" s="126" t="n">
        <x:f>D63/F63*100000</x:f>
        <x:v>67.20254943970363</x:v>
      </x:c>
      <x:c r="H63" s="127" t="n">
        <x:f>1+COUNTIFS($C$4:$C$802,C63,$G$4:$G$802,"&gt;"&amp;G63)</x:f>
        <x:v>35</x:v>
      </x:c>
      <x:c r="I63" s="128" t="n">
        <x:f>D63/SUMIF($C$4:$C$802,C63,$D$4:$D$802)</x:f>
        <x:v>0.018449172351285598</x:v>
      </x:c>
      <x:c r="J63" s="103" t="n">
        <x:f>(D63/SUMIF($A$4:$A$802,A63,$D$4:$D$802))/(SUMIF($C$4:$C$802,C63,$D$4:$D$802)/SUM($D$4:$D$802))</x:f>
        <x:v>0.9981123229745206</x:v>
      </x:c>
    </x:row>
    <x:row r="64">
      <x:c r="A64" s="101" t="str">
        <x:v>宮城県</x:v>
      </x:c>
      <x:c r="B64" s="101" t="str">
        <x:v>K</x:v>
      </x:c>
      <x:c r="C64" s="101" t="str">
        <x:v>不動産業，物品賃貸業</x:v>
      </x:c>
      <x:c r="D64" s="102" t="n">
        <x:v>6667</x:v>
      </x:c>
      <x:c r="E64" s="102" t="n">
        <x:f>1+COUNTIFS($C$4:$C$802,C64,$D$4:$D$802,"&gt;"&amp;D64)</x:f>
        <x:v>14</x:v>
      </x:c>
      <x:c r="F64" s="102" t="n">
        <x:v>2301996</x:v>
      </x:c>
      <x:c r="G64" s="126" t="n">
        <x:f>D64/F64*100000</x:f>
        <x:v>289.61822696477316</x:v>
      </x:c>
      <x:c r="H64" s="127" t="n">
        <x:f>1+COUNTIFS($C$4:$C$802,C64,$G$4:$G$802,"&gt;"&amp;G64)</x:f>
        <x:v>15</x:v>
      </x:c>
      <x:c r="I64" s="128" t="n">
        <x:f>D64/SUMIF($C$4:$C$802,C64,$D$4:$D$802)</x:f>
        <x:v>0.017804495054158567</x:v>
      </x:c>
      <x:c r="J64" s="103" t="n">
        <x:f>(D64/SUMIF($A$4:$A$802,A64,$D$4:$D$802))/(SUMIF($C$4:$C$802,C64,$D$4:$D$802)/SUM($D$4:$D$802))</x:f>
        <x:v>0.9632348584274694</x:v>
      </x:c>
    </x:row>
    <x:row r="65">
      <x:c r="A65" s="101" t="str">
        <x:v>宮城県</x:v>
      </x:c>
      <x:c r="B65" s="101" t="str">
        <x:v>L</x:v>
      </x:c>
      <x:c r="C65" s="101" t="str">
        <x:v>学術研究，専門・技術サービス業</x:v>
      </x:c>
      <x:c r="D65" s="102" t="n">
        <x:v>4402</x:v>
      </x:c>
      <x:c r="E65" s="102" t="n">
        <x:f>1+COUNTIFS($C$4:$C$802,C65,$D$4:$D$802,"&gt;"&amp;D65)</x:f>
        <x:v>13</x:v>
      </x:c>
      <x:c r="F65" s="102" t="n">
        <x:v>2301996</x:v>
      </x:c>
      <x:c r="G65" s="126" t="n">
        <x:f>D65/F65*100000</x:f>
        <x:v>191.22535399713988</x:v>
      </x:c>
      <x:c r="H65" s="127" t="n">
        <x:f>1+COUNTIFS($C$4:$C$802,C65,$G$4:$G$802,"&gt;"&amp;G65)</x:f>
        <x:v>14</x:v>
      </x:c>
      <x:c r="I65" s="128" t="n">
        <x:f>D65/SUMIF($C$4:$C$802,C65,$D$4:$D$802)</x:f>
        <x:v>0.017444717444717445</x:v>
      </x:c>
      <x:c r="J65" s="103" t="n">
        <x:f>(D65/SUMIF($A$4:$A$802,A65,$D$4:$D$802))/(SUMIF($C$4:$C$802,C65,$D$4:$D$802)/SUM($D$4:$D$802))</x:f>
        <x:v>0.9437706538183953</x:v>
      </x:c>
    </x:row>
    <x:row r="66">
      <x:c r="A66" s="101" t="str">
        <x:v>宮城県</x:v>
      </x:c>
      <x:c r="B66" s="101" t="str">
        <x:v>M</x:v>
      </x:c>
      <x:c r="C66" s="101" t="str">
        <x:v>宿泊業，飲食サービス業</x:v>
      </x:c>
      <x:c r="D66" s="102" t="n">
        <x:v>10306</x:v>
      </x:c>
      <x:c r="E66" s="102" t="n">
        <x:f>1+COUNTIFS($C$4:$C$802,C66,$D$4:$D$802,"&gt;"&amp;D66)</x:f>
        <x:v>18</x:v>
      </x:c>
      <x:c r="F66" s="102" t="n">
        <x:v>2301996</x:v>
      </x:c>
      <x:c r="G66" s="126" t="n">
        <x:f>D66/F66*100000</x:f>
        <x:v>447.6984321432357</x:v>
      </x:c>
      <x:c r="H66" s="127" t="n">
        <x:f>1+COUNTIFS($C$4:$C$802,C66,$G$4:$G$802,"&gt;"&amp;G66)</x:f>
        <x:v>39</x:v>
      </x:c>
      <x:c r="I66" s="128" t="n">
        <x:f>D66/SUMIF($C$4:$C$802,C66,$D$4:$D$802)</x:f>
        <x:v>0.017203676438675385</x:v>
      </x:c>
      <x:c r="J66" s="103" t="n">
        <x:f>(D66/SUMIF($A$4:$A$802,A66,$D$4:$D$802))/(SUMIF($C$4:$C$802,C66,$D$4:$D$802)/SUM($D$4:$D$802))</x:f>
        <x:v>0.9307301773194053</x:v>
      </x:c>
    </x:row>
    <x:row r="67">
      <x:c r="A67" s="101" t="str">
        <x:v>宮城県</x:v>
      </x:c>
      <x:c r="B67" s="101" t="str">
        <x:v>N</x:v>
      </x:c>
      <x:c r="C67" s="101" t="str">
        <x:v>生活関連サービス業，娯楽業</x:v>
      </x:c>
      <x:c r="D67" s="102" t="n">
        <x:v>8298</x:v>
      </x:c>
      <x:c r="E67" s="102" t="n">
        <x:f>1+COUNTIFS($C$4:$C$802,C67,$D$4:$D$802,"&gt;"&amp;D67)</x:f>
        <x:v>15</x:v>
      </x:c>
      <x:c r="F67" s="102" t="n">
        <x:v>2301996</x:v>
      </x:c>
      <x:c r="G67" s="126" t="n">
        <x:f>D67/F67*100000</x:f>
        <x:v>360.4697836138725</x:v>
      </x:c>
      <x:c r="H67" s="127" t="n">
        <x:f>1+COUNTIFS($C$4:$C$802,C67,$G$4:$G$802,"&gt;"&amp;G67)</x:f>
        <x:v>33</x:v>
      </x:c>
      <x:c r="I67" s="128" t="n">
        <x:f>D67/SUMIF($C$4:$C$802,C67,$D$4:$D$802)</x:f>
        <x:v>0.0191106126312444</x:v>
      </x:c>
      <x:c r="J67" s="103" t="n">
        <x:f>(D67/SUMIF($A$4:$A$802,A67,$D$4:$D$802))/(SUMIF($C$4:$C$802,C67,$D$4:$D$802)/SUM($D$4:$D$802))</x:f>
        <x:v>1.0338966758857553</x:v>
      </x:c>
    </x:row>
    <x:row r="68">
      <x:c r="A68" s="101" t="str">
        <x:v>宮城県</x:v>
      </x:c>
      <x:c r="B68" s="101" t="str">
        <x:v>O</x:v>
      </x:c>
      <x:c r="C68" s="101" t="str">
        <x:v>教育，学習支援業</x:v>
      </x:c>
      <x:c r="D68" s="102" t="n">
        <x:v>2951</x:v>
      </x:c>
      <x:c r="E68" s="102" t="n">
        <x:f>1+COUNTIFS($C$4:$C$802,C68,$D$4:$D$802,"&gt;"&amp;D68)</x:f>
        <x:v>15</x:v>
      </x:c>
      <x:c r="F68" s="102" t="n">
        <x:v>2301996</x:v>
      </x:c>
      <x:c r="G68" s="126" t="n">
        <x:f>D68/F68*100000</x:f>
        <x:v>128.19309851103128</x:v>
      </x:c>
      <x:c r="H68" s="127" t="n">
        <x:f>1+COUNTIFS($C$4:$C$802,C68,$G$4:$G$802,"&gt;"&amp;G68)</x:f>
        <x:v>25</x:v>
      </x:c>
      <x:c r="I68" s="128" t="n">
        <x:f>D68/SUMIF($C$4:$C$802,C68,$D$4:$D$802)</x:f>
        <x:v>0.01806472939635277</x:v>
      </x:c>
      <x:c r="J68" s="103" t="n">
        <x:f>(D68/SUMIF($A$4:$A$802,A68,$D$4:$D$802))/(SUMIF($C$4:$C$802,C68,$D$4:$D$802)/SUM($D$4:$D$802))</x:f>
        <x:v>0.9773137069990754</x:v>
      </x:c>
    </x:row>
    <x:row r="69">
      <x:c r="A69" s="101" t="str">
        <x:v>宮城県</x:v>
      </x:c>
      <x:c r="B69" s="101" t="str">
        <x:v>P</x:v>
      </x:c>
      <x:c r="C69" s="101" t="str">
        <x:v>医療，福祉</x:v>
      </x:c>
      <x:c r="D69" s="102" t="n">
        <x:v>8116</x:v>
      </x:c>
      <x:c r="E69" s="102" t="n">
        <x:f>1+COUNTIFS($C$4:$C$802,C69,$D$4:$D$802,"&gt;"&amp;D69)</x:f>
        <x:v>14</x:v>
      </x:c>
      <x:c r="F69" s="102" t="n">
        <x:v>2301996</x:v>
      </x:c>
      <x:c r="G69" s="126" t="n">
        <x:f>D69/F69*100000</x:f>
        <x:v>352.5636013268485</x:v>
      </x:c>
      <x:c r="H69" s="127" t="n">
        <x:f>1+COUNTIFS($C$4:$C$802,C69,$G$4:$G$802,"&gt;"&amp;G69)</x:f>
        <x:v>36</x:v>
      </x:c>
      <x:c r="I69" s="128" t="n">
        <x:f>D69/SUMIF($C$4:$C$802,C69,$D$4:$D$802)</x:f>
        <x:v>0.017546931989423413</x:v>
      </x:c>
      <x:c r="J69" s="103" t="n">
        <x:f>(D69/SUMIF($A$4:$A$802,A69,$D$4:$D$802))/(SUMIF($C$4:$C$802,C69,$D$4:$D$802)/SUM($D$4:$D$802))</x:f>
        <x:v>0.9493005277181936</x:v>
      </x:c>
    </x:row>
    <x:row r="70">
      <x:c r="A70" s="101" t="str">
        <x:v>宮城県</x:v>
      </x:c>
      <x:c r="B70" s="101" t="str">
        <x:v>Q</x:v>
      </x:c>
      <x:c r="C70" s="101" t="str">
        <x:v>複合サービス事業</x:v>
      </x:c>
      <x:c r="D70" s="102" t="n">
        <x:v>602</x:v>
      </x:c>
      <x:c r="E70" s="102" t="n">
        <x:f>1+COUNTIFS($C$4:$C$802,C70,$D$4:$D$802,"&gt;"&amp;D70)</x:f>
        <x:v>22</x:v>
      </x:c>
      <x:c r="F70" s="102" t="n">
        <x:v>2301996</x:v>
      </x:c>
      <x:c r="G70" s="126" t="n">
        <x:f>D70/F70*100000</x:f>
        <x:v>26.151218334002316</x:v>
      </x:c>
      <x:c r="H70" s="127" t="n">
        <x:f>1+COUNTIFS($C$4:$C$802,C70,$G$4:$G$802,"&gt;"&amp;G70)</x:f>
        <x:v>32</x:v>
      </x:c>
      <x:c r="I70" s="128" t="n">
        <x:f>D70/SUMIF($C$4:$C$802,C70,$D$4:$D$802)</x:f>
        <x:v>0.018735800317450438</x:v>
      </x:c>
      <x:c r="J70" s="103" t="n">
        <x:f>(D70/SUMIF($A$4:$A$802,A70,$D$4:$D$802))/(SUMIF($C$4:$C$802,C70,$D$4:$D$802)/SUM($D$4:$D$802))</x:f>
        <x:v>1.013619083911594</x:v>
      </x:c>
    </x:row>
    <x:row r="71">
      <x:c r="A71" s="101" t="str">
        <x:v>宮城県</x:v>
      </x:c>
      <x:c r="B71" s="101" t="str">
        <x:v>R</x:v>
      </x:c>
      <x:c r="C71" s="101" t="str">
        <x:v>サービス業（他に分類されないもの）</x:v>
      </x:c>
      <x:c r="D71" s="102" t="n">
        <x:v>6754</x:v>
      </x:c>
      <x:c r="E71" s="102" t="n">
        <x:f>1+COUNTIFS($C$4:$C$802,C71,$D$4:$D$802,"&gt;"&amp;D71)</x:f>
        <x:v>15</x:v>
      </x:c>
      <x:c r="F71" s="102" t="n">
        <x:v>2301996</x:v>
      </x:c>
      <x:c r="G71" s="126" t="n">
        <x:f>D71/F71*100000</x:f>
        <x:v>293.3975558602187</x:v>
      </x:c>
      <x:c r="H71" s="127" t="n">
        <x:f>1+COUNTIFS($C$4:$C$802,C71,$G$4:$G$802,"&gt;"&amp;G71)</x:f>
        <x:v>38</x:v>
      </x:c>
      <x:c r="I71" s="128" t="n">
        <x:f>D71/SUMIF($C$4:$C$802,C71,$D$4:$D$802)</x:f>
        <x:v>0.018293013228172433</x:v>
      </x:c>
      <x:c r="J71" s="103" t="n">
        <x:f>(D71/SUMIF($A$4:$A$802,A71,$D$4:$D$802))/(SUMIF($C$4:$C$802,C71,$D$4:$D$802)/SUM($D$4:$D$802))</x:f>
        <x:v>0.9896640120066151</x:v>
      </x:c>
    </x:row>
    <x:row r="72">
      <x:c r="A72" s="101" t="str">
        <x:v>秋田県</x:v>
      </x:c>
      <x:c r="B72" s="101" t="str">
        <x:v>AB</x:v>
      </x:c>
      <x:c r="C72" s="101" t="str">
        <x:v>農林漁業</x:v>
      </x:c>
      <x:c r="D72" s="102" t="n">
        <x:v>943</x:v>
      </x:c>
      <x:c r="E72" s="102" t="n">
        <x:f>1+COUNTIFS($C$4:$C$802,C72,$D$4:$D$802,"&gt;"&amp;D72)</x:f>
        <x:v>16</x:v>
      </x:c>
      <x:c r="F72" s="102" t="n">
        <x:v>959502</x:v>
      </x:c>
      <x:c r="G72" s="126" t="n">
        <x:f>D72/F72*100000</x:f>
        <x:v>98.28014949421679</x:v>
      </x:c>
      <x:c r="H72" s="127" t="n">
        <x:f>1+COUNTIFS($C$4:$C$802,C72,$G$4:$G$802,"&gt;"&amp;G72)</x:f>
        <x:v>4</x:v>
      </x:c>
      <x:c r="I72" s="128" t="n">
        <x:f>D72/SUMIF($C$4:$C$802,C72,$D$4:$D$802)</x:f>
        <x:v>0.022210184182015168</x:v>
      </x:c>
      <x:c r="J72" s="103" t="n">
        <x:f>(D72/SUMIF($A$4:$A$802,A72,$D$4:$D$802))/(SUMIF($C$4:$C$802,C72,$D$4:$D$802)/SUM($D$4:$D$802))</x:f>
        <x:v>2.5514584337961743</x:v>
      </x:c>
    </x:row>
    <x:row r="73">
      <x:c r="A73" s="101" t="str">
        <x:v>秋田県</x:v>
      </x:c>
      <x:c r="B73" s="101" t="str">
        <x:v>C</x:v>
      </x:c>
      <x:c r="C73" s="101" t="str">
        <x:v>鉱業，採石業，砂利採取業</x:v>
      </x:c>
      <x:c r="D73" s="102" t="n">
        <x:v>46</x:v>
      </x:c>
      <x:c r="E73" s="102" t="n">
        <x:f>1+COUNTIFS($C$4:$C$802,C73,$D$4:$D$802,"&gt;"&amp;D73)</x:f>
        <x:v>15</x:v>
      </x:c>
      <x:c r="F73" s="102" t="n">
        <x:v>959502</x:v>
      </x:c>
      <x:c r="G73" s="126" t="n">
        <x:f>D73/F73*100000</x:f>
        <x:v>4.794153633864234</x:v>
      </x:c>
      <x:c r="H73" s="127" t="n">
        <x:f>1+COUNTIFS($C$4:$C$802,C73,$G$4:$G$802,"&gt;"&amp;G73)</x:f>
        <x:v>2</x:v>
      </x:c>
      <x:c r="I73" s="128" t="n">
        <x:f>D73/SUMIF($C$4:$C$802,C73,$D$4:$D$802)</x:f>
        <x:v>0.024664879356568366</x:v>
      </x:c>
      <x:c r="J73" s="103" t="n">
        <x:f>(D73/SUMIF($A$4:$A$802,A73,$D$4:$D$802))/(SUMIF($C$4:$C$802,C73,$D$4:$D$802)/SUM($D$4:$D$802))</x:f>
        <x:v>2.8334485629272987</x:v>
      </x:c>
    </x:row>
    <x:row r="74">
      <x:c r="A74" s="101" t="str">
        <x:v>秋田県</x:v>
      </x:c>
      <x:c r="B74" s="101" t="str">
        <x:v>D</x:v>
      </x:c>
      <x:c r="C74" s="101" t="str">
        <x:v>建設業</x:v>
      </x:c>
      <x:c r="D74" s="102" t="n">
        <x:v>4857</x:v>
      </x:c>
      <x:c r="E74" s="102" t="n">
        <x:f>1+COUNTIFS($C$4:$C$802,C74,$D$4:$D$802,"&gt;"&amp;D74)</x:f>
        <x:v>36</x:v>
      </x:c>
      <x:c r="F74" s="102" t="n">
        <x:v>959502</x:v>
      </x:c>
      <x:c r="G74" s="126" t="n">
        <x:f>D74/F74*100000</x:f>
        <x:v>506.20009129736053</x:v>
      </x:c>
      <x:c r="H74" s="127" t="n">
        <x:f>1+COUNTIFS($C$4:$C$802,C74,$G$4:$G$802,"&gt;"&amp;G74)</x:f>
        <x:v>9</x:v>
      </x:c>
      <x:c r="I74" s="128" t="n">
        <x:f>D74/SUMIF($C$4:$C$802,C74,$D$4:$D$802)</x:f>
        <x:v>0.010011646242798397</x:v>
      </x:c>
      <x:c r="J74" s="103" t="n">
        <x:f>(D74/SUMIF($A$4:$A$802,A74,$D$4:$D$802))/(SUMIF($C$4:$C$802,C74,$D$4:$D$802)/SUM($D$4:$D$802))</x:f>
        <x:v>1.150116497595567</x:v>
      </x:c>
    </x:row>
    <x:row r="75">
      <x:c r="A75" s="101" t="str">
        <x:v>秋田県</x:v>
      </x:c>
      <x:c r="B75" s="101" t="str">
        <x:v>E</x:v>
      </x:c>
      <x:c r="C75" s="101" t="str">
        <x:v>製造業</x:v>
      </x:c>
      <x:c r="D75" s="102" t="n">
        <x:v>3127</x:v>
      </x:c>
      <x:c r="E75" s="102" t="n">
        <x:f>1+COUNTIFS($C$4:$C$802,C75,$D$4:$D$802,"&gt;"&amp;D75)</x:f>
        <x:v>38</x:v>
      </x:c>
      <x:c r="F75" s="102" t="n">
        <x:v>959502</x:v>
      </x:c>
      <x:c r="G75" s="126" t="n">
        <x:f>D75/F75*100000</x:f>
        <x:v>325.89822637159693</x:v>
      </x:c>
      <x:c r="H75" s="127" t="n">
        <x:f>1+COUNTIFS($C$4:$C$802,C75,$G$4:$G$802,"&gt;"&amp;G75)</x:f>
        <x:v>25</x:v>
      </x:c>
      <x:c r="I75" s="128" t="n">
        <x:f>D75/SUMIF($C$4:$C$802,C75,$D$4:$D$802)</x:f>
        <x:v>0.007578456534752567</x:v>
      </x:c>
      <x:c r="J75" s="103" t="n">
        <x:f>(D75/SUMIF($A$4:$A$802,A75,$D$4:$D$802))/(SUMIF($C$4:$C$802,C75,$D$4:$D$802)/SUM($D$4:$D$802))</x:f>
        <x:v>0.8705968704397193</x:v>
      </x:c>
    </x:row>
    <x:row r="76">
      <x:c r="A76" s="101" t="str">
        <x:v>秋田県</x:v>
      </x:c>
      <x:c r="B76" s="101" t="str">
        <x:v>F</x:v>
      </x:c>
      <x:c r="C76" s="101" t="str">
        <x:v>電気・ガス・熱供給・水道業</x:v>
      </x:c>
      <x:c r="D76" s="102" t="n">
        <x:v>134</x:v>
      </x:c>
      <x:c r="E76" s="102" t="n">
        <x:f>1+COUNTIFS($C$4:$C$802,C76,$D$4:$D$802,"&gt;"&amp;D76)</x:f>
        <x:v>27</x:v>
      </x:c>
      <x:c r="F76" s="102" t="n">
        <x:v>959502</x:v>
      </x:c>
      <x:c r="G76" s="126" t="n">
        <x:f>D76/F76*100000</x:f>
        <x:v>13.965577976908856</x:v>
      </x:c>
      <x:c r="H76" s="127" t="n">
        <x:f>1+COUNTIFS($C$4:$C$802,C76,$G$4:$G$802,"&gt;"&amp;G76)</x:f>
        <x:v>8</x:v>
      </x:c>
      <x:c r="I76" s="128" t="n">
        <x:f>D76/SUMIF($C$4:$C$802,C76,$D$4:$D$802)</x:f>
        <x:v>0.014662435715067293</x:v>
      </x:c>
      <x:c r="J76" s="103" t="n">
        <x:f>(D76/SUMIF($A$4:$A$802,A76,$D$4:$D$802))/(SUMIF($C$4:$C$802,C76,$D$4:$D$802)/SUM($D$4:$D$802))</x:f>
        <x:v>1.6843892404771743</x:v>
      </x:c>
    </x:row>
    <x:row r="77">
      <x:c r="A77" s="101" t="str">
        <x:v>秋田県</x:v>
      </x:c>
      <x:c r="B77" s="101" t="str">
        <x:v>G</x:v>
      </x:c>
      <x:c r="C77" s="101" t="str">
        <x:v>情報通信業</x:v>
      </x:c>
      <x:c r="D77" s="102" t="n">
        <x:v>282</x:v>
      </x:c>
      <x:c r="E77" s="102" t="n">
        <x:f>1+COUNTIFS($C$4:$C$802,C77,$D$4:$D$802,"&gt;"&amp;D77)</x:f>
        <x:v>41</x:v>
      </x:c>
      <x:c r="F77" s="102" t="n">
        <x:v>959502</x:v>
      </x:c>
      <x:c r="G77" s="126" t="n">
        <x:f>D77/F77*100000</x:f>
        <x:v>29.390246190211172</x:v>
      </x:c>
      <x:c r="H77" s="127" t="n">
        <x:f>1+COUNTIFS($C$4:$C$802,C77,$G$4:$G$802,"&gt;"&amp;G77)</x:f>
        <x:v>40</x:v>
      </x:c>
      <x:c r="I77" s="128" t="n">
        <x:f>D77/SUMIF($C$4:$C$802,C77,$D$4:$D$802)</x:f>
        <x:v>0.0036834336916626393</x:v>
      </x:c>
      <x:c r="J77" s="103" t="n">
        <x:f>(D77/SUMIF($A$4:$A$802,A77,$D$4:$D$802))/(SUMIF($C$4:$C$802,C77,$D$4:$D$802)/SUM($D$4:$D$802))</x:f>
        <x:v>0.4231449807395928</x:v>
      </x:c>
    </x:row>
    <x:row r="78">
      <x:c r="A78" s="101" t="str">
        <x:v>秋田県</x:v>
      </x:c>
      <x:c r="B78" s="101" t="str">
        <x:v>H</x:v>
      </x:c>
      <x:c r="C78" s="101" t="str">
        <x:v>運輸業，郵便業</x:v>
      </x:c>
      <x:c r="D78" s="102" t="n">
        <x:v>885</x:v>
      </x:c>
      <x:c r="E78" s="102" t="n">
        <x:f>1+COUNTIFS($C$4:$C$802,C78,$D$4:$D$802,"&gt;"&amp;D78)</x:f>
        <x:v>40</x:v>
      </x:c>
      <x:c r="F78" s="102" t="n">
        <x:v>959502</x:v>
      </x:c>
      <x:c r="G78" s="126" t="n">
        <x:f>D78/F78*100000</x:f>
        <x:v>92.23534708630102</x:v>
      </x:c>
      <x:c r="H78" s="127" t="n">
        <x:f>1+COUNTIFS($C$4:$C$802,C78,$G$4:$G$802,"&gt;"&amp;G78)</x:f>
        <x:v>37</x:v>
      </x:c>
      <x:c r="I78" s="128" t="n">
        <x:f>D78/SUMIF($C$4:$C$802,C78,$D$4:$D$802)</x:f>
        <x:v>0.006901984027951086</x:v>
      </x:c>
      <x:c r="J78" s="103" t="n">
        <x:f>(D78/SUMIF($A$4:$A$802,A78,$D$4:$D$802))/(SUMIF($C$4:$C$802,C78,$D$4:$D$802)/SUM($D$4:$D$802))</x:f>
        <x:v>0.792885156364538</x:v>
      </x:c>
    </x:row>
    <x:row r="79">
      <x:c r="A79" s="101" t="str">
        <x:v>秋田県</x:v>
      </x:c>
      <x:c r="B79" s="101" t="str">
        <x:v>I</x:v>
      </x:c>
      <x:c r="C79" s="101" t="str">
        <x:v>卸売業，小売業</x:v>
      </x:c>
      <x:c r="D79" s="102" t="n">
        <x:v>11368</x:v>
      </x:c>
      <x:c r="E79" s="102" t="n">
        <x:f>1+COUNTIFS($C$4:$C$802,C79,$D$4:$D$802,"&gt;"&amp;D79)</x:f>
        <x:v>39</x:v>
      </x:c>
      <x:c r="F79" s="102" t="n">
        <x:v>959502</x:v>
      </x:c>
      <x:c r="G79" s="126" t="n">
        <x:f>D79/F79*100000</x:f>
        <x:v>1184.7812719514916</x:v>
      </x:c>
      <x:c r="H79" s="127" t="n">
        <x:f>1+COUNTIFS($C$4:$C$802,C79,$G$4:$G$802,"&gt;"&amp;G79)</x:f>
        <x:v>10</x:v>
      </x:c>
      <x:c r="I79" s="128" t="n">
        <x:f>D79/SUMIF($C$4:$C$802,C79,$D$4:$D$802)</x:f>
        <x:v>0.009250398724082934</x:v>
      </x:c>
      <x:c r="J79" s="103" t="n">
        <x:f>(D79/SUMIF($A$4:$A$802,A79,$D$4:$D$802))/(SUMIF($C$4:$C$802,C79,$D$4:$D$802)/SUM($D$4:$D$802))</x:f>
        <x:v>1.0626660115520625</x:v>
      </x:c>
    </x:row>
    <x:row r="80">
      <x:c r="A80" s="101" t="str">
        <x:v>秋田県</x:v>
      </x:c>
      <x:c r="B80" s="101" t="str">
        <x:v>J</x:v>
      </x:c>
      <x:c r="C80" s="101" t="str">
        <x:v>金融業，保険業</x:v>
      </x:c>
      <x:c r="D80" s="102" t="n">
        <x:v>726</x:v>
      </x:c>
      <x:c r="E80" s="102" t="n">
        <x:f>1+COUNTIFS($C$4:$C$802,C80,$D$4:$D$802,"&gt;"&amp;D80)</x:f>
        <x:v>39</x:v>
      </x:c>
      <x:c r="F80" s="102" t="n">
        <x:v>959502</x:v>
      </x:c>
      <x:c r="G80" s="126" t="n">
        <x:f>D80/F80*100000</x:f>
        <x:v>75.66425083011814</x:v>
      </x:c>
      <x:c r="H80" s="127" t="n">
        <x:f>1+COUNTIFS($C$4:$C$802,C80,$G$4:$G$802,"&gt;"&amp;G80)</x:f>
        <x:v>24</x:v>
      </x:c>
      <x:c r="I80" s="128" t="n">
        <x:f>D80/SUMIF($C$4:$C$802,C80,$D$4:$D$802)</x:f>
        <x:v>0.008658111911463054</x:v>
      </x:c>
      <x:c r="J80" s="103" t="n">
        <x:f>(D80/SUMIF($A$4:$A$802,A80,$D$4:$D$802))/(SUMIF($C$4:$C$802,C80,$D$4:$D$802)/SUM($D$4:$D$802))</x:f>
        <x:v>0.9946253698851221</x:v>
      </x:c>
    </x:row>
    <x:row r="81">
      <x:c r="A81" s="101" t="str">
        <x:v>秋田県</x:v>
      </x:c>
      <x:c r="B81" s="101" t="str">
        <x:v>K</x:v>
      </x:c>
      <x:c r="C81" s="101" t="str">
        <x:v>不動産業，物品賃貸業</x:v>
      </x:c>
      <x:c r="D81" s="102" t="n">
        <x:v>1729</x:v>
      </x:c>
      <x:c r="E81" s="102" t="n">
        <x:f>1+COUNTIFS($C$4:$C$802,C81,$D$4:$D$802,"&gt;"&amp;D81)</x:f>
        <x:v>42</x:v>
      </x:c>
      <x:c r="F81" s="102" t="n">
        <x:v>959502</x:v>
      </x:c>
      <x:c r="G81" s="126" t="n">
        <x:f>D81/F81*100000</x:f>
        <x:v>180.1976441945926</x:v>
      </x:c>
      <x:c r="H81" s="127" t="n">
        <x:f>1+COUNTIFS($C$4:$C$802,C81,$G$4:$G$802,"&gt;"&amp;G81)</x:f>
        <x:v>47</x:v>
      </x:c>
      <x:c r="I81" s="128" t="n">
        <x:f>D81/SUMIF($C$4:$C$802,C81,$D$4:$D$802)</x:f>
        <x:v>0.004617364924049822</x:v>
      </x:c>
      <x:c r="J81" s="103" t="n">
        <x:f>(D81/SUMIF($A$4:$A$802,A81,$D$4:$D$802))/(SUMIF($C$4:$C$802,C81,$D$4:$D$802)/SUM($D$4:$D$802))</x:f>
        <x:v>0.5304330023035692</x:v>
      </x:c>
    </x:row>
    <x:row r="82">
      <x:c r="A82" s="101" t="str">
        <x:v>秋田県</x:v>
      </x:c>
      <x:c r="B82" s="101" t="str">
        <x:v>L</x:v>
      </x:c>
      <x:c r="C82" s="101" t="str">
        <x:v>学術研究，専門・技術サービス業</x:v>
      </x:c>
      <x:c r="D82" s="102" t="n">
        <x:v>1626</x:v>
      </x:c>
      <x:c r="E82" s="102" t="n">
        <x:f>1+COUNTIFS($C$4:$C$802,C82,$D$4:$D$802,"&gt;"&amp;D82)</x:f>
        <x:v>41</x:v>
      </x:c>
      <x:c r="F82" s="102" t="n">
        <x:v>959502</x:v>
      </x:c>
      <x:c r="G82" s="126" t="n">
        <x:f>D82/F82*100000</x:f>
        <x:v>169.46290888398357</x:v>
      </x:c>
      <x:c r="H82" s="127" t="n">
        <x:f>1+COUNTIFS($C$4:$C$802,C82,$G$4:$G$802,"&gt;"&amp;G82)</x:f>
        <x:v>33</x:v>
      </x:c>
      <x:c r="I82" s="128" t="n">
        <x:f>D82/SUMIF($C$4:$C$802,C82,$D$4:$D$802)</x:f>
        <x:v>0.006443687088848379</x:v>
      </x:c>
      <x:c r="J82" s="103" t="n">
        <x:f>(D82/SUMIF($A$4:$A$802,A82,$D$4:$D$802))/(SUMIF($C$4:$C$802,C82,$D$4:$D$802)/SUM($D$4:$D$802))</x:f>
        <x:v>0.7402369846576397</x:v>
      </x:c>
    </x:row>
    <x:row r="83">
      <x:c r="A83" s="101" t="str">
        <x:v>秋田県</x:v>
      </x:c>
      <x:c r="B83" s="101" t="str">
        <x:v>M</x:v>
      </x:c>
      <x:c r="C83" s="101" t="str">
        <x:v>宿泊業，飲食サービス業</x:v>
      </x:c>
      <x:c r="D83" s="102" t="n">
        <x:v>4976</x:v>
      </x:c>
      <x:c r="E83" s="102" t="n">
        <x:f>1+COUNTIFS($C$4:$C$802,C83,$D$4:$D$802,"&gt;"&amp;D83)</x:f>
        <x:v>38</x:v>
      </x:c>
      <x:c r="F83" s="102" t="n">
        <x:v>959502</x:v>
      </x:c>
      <x:c r="G83" s="126" t="n">
        <x:f>D83/F83*100000</x:f>
        <x:v>518.6023583067049</x:v>
      </x:c>
      <x:c r="H83" s="127" t="n">
        <x:f>1+COUNTIFS($C$4:$C$802,C83,$G$4:$G$802,"&gt;"&amp;G83)</x:f>
        <x:v>20</x:v>
      </x:c>
      <x:c r="I83" s="128" t="n">
        <x:f>D83/SUMIF($C$4:$C$802,C83,$D$4:$D$802)</x:f>
        <x:v>0.00830637434104878</x:v>
      </x:c>
      <x:c r="J83" s="103" t="n">
        <x:f>(D83/SUMIF($A$4:$A$802,A83,$D$4:$D$802))/(SUMIF($C$4:$C$802,C83,$D$4:$D$802)/SUM($D$4:$D$802))</x:f>
        <x:v>0.9542185104389411</x:v>
      </x:c>
    </x:row>
    <x:row r="84">
      <x:c r="A84" s="101" t="str">
        <x:v>秋田県</x:v>
      </x:c>
      <x:c r="B84" s="101" t="str">
        <x:v>N</x:v>
      </x:c>
      <x:c r="C84" s="101" t="str">
        <x:v>生活関連サービス業，娯楽業</x:v>
      </x:c>
      <x:c r="D84" s="102" t="n">
        <x:v>5265</x:v>
      </x:c>
      <x:c r="E84" s="102" t="n">
        <x:f>1+COUNTIFS($C$4:$C$802,C84,$D$4:$D$802,"&gt;"&amp;D84)</x:f>
        <x:v>31</x:v>
      </x:c>
      <x:c r="F84" s="102" t="n">
        <x:v>959502</x:v>
      </x:c>
      <x:c r="G84" s="126" t="n">
        <x:f>D84/F84*100000</x:f>
        <x:v>548.7221496151128</x:v>
      </x:c>
      <x:c r="H84" s="127" t="n">
        <x:f>1+COUNTIFS($C$4:$C$802,C84,$G$4:$G$802,"&gt;"&amp;G84)</x:f>
        <x:v>1</x:v>
      </x:c>
      <x:c r="I84" s="128" t="n">
        <x:f>D84/SUMIF($C$4:$C$802,C84,$D$4:$D$802)</x:f>
        <x:v>0.012125497168414288</x:v>
      </x:c>
      <x:c r="J84" s="103" t="n">
        <x:f>(D84/SUMIF($A$4:$A$802,A84,$D$4:$D$802))/(SUMIF($C$4:$C$802,C84,$D$4:$D$802)/SUM($D$4:$D$802))</x:f>
        <x:v>1.392951168742412</x:v>
      </x:c>
    </x:row>
    <x:row r="85">
      <x:c r="A85" s="101" t="str">
        <x:v>秋田県</x:v>
      </x:c>
      <x:c r="B85" s="101" t="str">
        <x:v>O</x:v>
      </x:c>
      <x:c r="C85" s="101" t="str">
        <x:v>教育，学習支援業</x:v>
      </x:c>
      <x:c r="D85" s="102" t="n">
        <x:v>1103</x:v>
      </x:c>
      <x:c r="E85" s="102" t="n">
        <x:f>1+COUNTIFS($C$4:$C$802,C85,$D$4:$D$802,"&gt;"&amp;D85)</x:f>
        <x:v>41</x:v>
      </x:c>
      <x:c r="F85" s="102" t="n">
        <x:v>959502</x:v>
      </x:c>
      <x:c r="G85" s="126" t="n">
        <x:f>D85/F85*100000</x:f>
        <x:v>114.95546648157065</x:v>
      </x:c>
      <x:c r="H85" s="127" t="n">
        <x:f>1+COUNTIFS($C$4:$C$802,C85,$G$4:$G$802,"&gt;"&amp;G85)</x:f>
        <x:v>41</x:v>
      </x:c>
      <x:c r="I85" s="128" t="n">
        <x:f>D85/SUMIF($C$4:$C$802,C85,$D$4:$D$802)</x:f>
        <x:v>0.006752082861462931</x:v>
      </x:c>
      <x:c r="J85" s="103" t="n">
        <x:f>(D85/SUMIF($A$4:$A$802,A85,$D$4:$D$802))/(SUMIF($C$4:$C$802,C85,$D$4:$D$802)/SUM($D$4:$D$802))</x:f>
        <x:v>0.775664831114746</x:v>
      </x:c>
    </x:row>
    <x:row r="86">
      <x:c r="A86" s="101" t="str">
        <x:v>秋田県</x:v>
      </x:c>
      <x:c r="B86" s="101" t="str">
        <x:v>P</x:v>
      </x:c>
      <x:c r="C86" s="101" t="str">
        <x:v>医療，福祉</x:v>
      </x:c>
      <x:c r="D86" s="102" t="n">
        <x:v>3851</x:v>
      </x:c>
      <x:c r="E86" s="102" t="n">
        <x:f>1+COUNTIFS($C$4:$C$802,C86,$D$4:$D$802,"&gt;"&amp;D86)</x:f>
        <x:v>38</x:v>
      </x:c>
      <x:c r="F86" s="102" t="n">
        <x:v>959502</x:v>
      </x:c>
      <x:c r="G86" s="126" t="n">
        <x:f>D86/F86*100000</x:f>
        <x:v>401.3540357393731</x:v>
      </x:c>
      <x:c r="H86" s="127" t="n">
        <x:f>1+COUNTIFS($C$4:$C$802,C86,$G$4:$G$802,"&gt;"&amp;G86)</x:f>
        <x:v>17</x:v>
      </x:c>
      <x:c r="I86" s="128" t="n">
        <x:f>D86/SUMIF($C$4:$C$802,C86,$D$4:$D$802)</x:f>
        <x:v>0.008325928424256968</x:v>
      </x:c>
      <x:c r="J86" s="103" t="n">
        <x:f>(D86/SUMIF($A$4:$A$802,A86,$D$4:$D$802))/(SUMIF($C$4:$C$802,C86,$D$4:$D$802)/SUM($D$4:$D$802))</x:f>
        <x:v>0.9564648416763508</x:v>
      </x:c>
    </x:row>
    <x:row r="87">
      <x:c r="A87" s="101" t="str">
        <x:v>秋田県</x:v>
      </x:c>
      <x:c r="B87" s="101" t="str">
        <x:v>Q</x:v>
      </x:c>
      <x:c r="C87" s="101" t="str">
        <x:v>複合サービス事業</x:v>
      </x:c>
      <x:c r="D87" s="102" t="n">
        <x:v>532</x:v>
      </x:c>
      <x:c r="E87" s="102" t="n">
        <x:f>1+COUNTIFS($C$4:$C$802,C87,$D$4:$D$802,"&gt;"&amp;D87)</x:f>
        <x:v>27</x:v>
      </x:c>
      <x:c r="F87" s="102" t="n">
        <x:v>959502</x:v>
      </x:c>
      <x:c r="G87" s="126" t="n">
        <x:f>D87/F87*100000</x:f>
        <x:v>55.445428982951576</x:v>
      </x:c>
      <x:c r="H87" s="127" t="n">
        <x:f>1+COUNTIFS($C$4:$C$802,C87,$G$4:$G$802,"&gt;"&amp;G87)</x:f>
        <x:v>5</x:v>
      </x:c>
      <x:c r="I87" s="128" t="n">
        <x:f>D87/SUMIF($C$4:$C$802,C87,$D$4:$D$802)</x:f>
        <x:v>0.016557218885188758</x:v>
      </x:c>
      <x:c r="J87" s="103" t="n">
        <x:f>(D87/SUMIF($A$4:$A$802,A87,$D$4:$D$802))/(SUMIF($C$4:$C$802,C87,$D$4:$D$802)/SUM($D$4:$D$802))</x:f>
        <x:v>1.9020578766308627</x:v>
      </x:c>
    </x:row>
    <x:row r="88">
      <x:c r="A88" s="101" t="str">
        <x:v>秋田県</x:v>
      </x:c>
      <x:c r="B88" s="101" t="str">
        <x:v>R</x:v>
      </x:c>
      <x:c r="C88" s="101" t="str">
        <x:v>サービス業（他に分類されないもの）</x:v>
      </x:c>
      <x:c r="D88" s="102" t="n">
        <x:v>3433</x:v>
      </x:c>
      <x:c r="E88" s="102" t="n">
        <x:f>1+COUNTIFS($C$4:$C$802,C88,$D$4:$D$802,"&gt;"&amp;D88)</x:f>
        <x:v>39</x:v>
      </x:c>
      <x:c r="F88" s="102" t="n">
        <x:v>959502</x:v>
      </x:c>
      <x:c r="G88" s="126" t="n">
        <x:f>D88/F88*100000</x:f>
        <x:v>357.7897701099112</x:v>
      </x:c>
      <x:c r="H88" s="127" t="n">
        <x:f>1+COUNTIFS($C$4:$C$802,C88,$G$4:$G$802,"&gt;"&amp;G88)</x:f>
        <x:v>16</x:v>
      </x:c>
      <x:c r="I88" s="128" t="n">
        <x:f>D88/SUMIF($C$4:$C$802,C88,$D$4:$D$802)</x:f>
        <x:v>0.009298180990867036</x:v>
      </x:c>
      <x:c r="J88" s="103" t="n">
        <x:f>(D88/SUMIF($A$4:$A$802,A88,$D$4:$D$802))/(SUMIF($C$4:$C$802,C88,$D$4:$D$802)/SUM($D$4:$D$802))</x:f>
        <x:v>1.0681551361164108</x:v>
      </x:c>
    </x:row>
    <x:row r="89">
      <x:c r="A89" s="101" t="str">
        <x:v>山形県</x:v>
      </x:c>
      <x:c r="B89" s="101" t="str">
        <x:v>AB</x:v>
      </x:c>
      <x:c r="C89" s="101" t="str">
        <x:v>農林漁業</x:v>
      </x:c>
      <x:c r="D89" s="102" t="n">
        <x:v>758</x:v>
      </x:c>
      <x:c r="E89" s="102" t="n">
        <x:f>1+COUNTIFS($C$4:$C$802,C89,$D$4:$D$802,"&gt;"&amp;D89)</x:f>
        <x:v>25</x:v>
      </x:c>
      <x:c r="F89" s="102" t="n">
        <x:v>1068027</x:v>
      </x:c>
      <x:c r="G89" s="126" t="n">
        <x:f>D89/F89*100000</x:f>
        <x:v>70.97198853587035</x:v>
      </x:c>
      <x:c r="H89" s="127" t="n">
        <x:f>1+COUNTIFS($C$4:$C$802,C89,$G$4:$G$802,"&gt;"&amp;G89)</x:f>
        <x:v>10</x:v>
      </x:c>
      <x:c r="I89" s="128" t="n">
        <x:f>D89/SUMIF($C$4:$C$802,C89,$D$4:$D$802)</x:f>
        <x:v>0.017852937020113997</x:v>
      </x:c>
      <x:c r="J89" s="103" t="n">
        <x:f>(D89/SUMIF($A$4:$A$802,A89,$D$4:$D$802))/(SUMIF($C$4:$C$802,C89,$D$4:$D$802)/SUM($D$4:$D$802))</x:f>
        <x:v>1.7654219905782402</x:v>
      </x:c>
    </x:row>
    <x:row r="90">
      <x:c r="A90" s="101" t="str">
        <x:v>山形県</x:v>
      </x:c>
      <x:c r="B90" s="101" t="str">
        <x:v>C</x:v>
      </x:c>
      <x:c r="C90" s="101" t="str">
        <x:v>鉱業，採石業，砂利採取業</x:v>
      </x:c>
      <x:c r="D90" s="102" t="n">
        <x:v>21</x:v>
      </x:c>
      <x:c r="E90" s="102" t="n">
        <x:f>1+COUNTIFS($C$4:$C$802,C90,$D$4:$D$802,"&gt;"&amp;D90)</x:f>
        <x:v>36</x:v>
      </x:c>
      <x:c r="F90" s="102" t="n">
        <x:v>1068027</x:v>
      </x:c>
      <x:c r="G90" s="126" t="n">
        <x:f>D90/F90*100000</x:f>
        <x:v>1.966242426455511</x:v>
      </x:c>
      <x:c r="H90" s="127" t="n">
        <x:f>1+COUNTIFS($C$4:$C$802,C90,$G$4:$G$802,"&gt;"&amp;G90)</x:f>
        <x:v>28</x:v>
      </x:c>
      <x:c r="I90" s="128" t="n">
        <x:f>D90/SUMIF($C$4:$C$802,C90,$D$4:$D$802)</x:f>
        <x:v>0.011260053619302948</x:v>
      </x:c>
      <x:c r="J90" s="103" t="n">
        <x:f>(D90/SUMIF($A$4:$A$802,A90,$D$4:$D$802))/(SUMIF($C$4:$C$802,C90,$D$4:$D$802)/SUM($D$4:$D$802))</x:f>
        <x:v>1.1134720439673966</x:v>
      </x:c>
    </x:row>
    <x:row r="91">
      <x:c r="A91" s="101" t="str">
        <x:v>山形県</x:v>
      </x:c>
      <x:c r="B91" s="101" t="str">
        <x:v>D</x:v>
      </x:c>
      <x:c r="C91" s="101" t="str">
        <x:v>建設業</x:v>
      </x:c>
      <x:c r="D91" s="102" t="n">
        <x:v>5740</x:v>
      </x:c>
      <x:c r="E91" s="102" t="n">
        <x:f>1+COUNTIFS($C$4:$C$802,C91,$D$4:$D$802,"&gt;"&amp;D91)</x:f>
        <x:v>28</x:v>
      </x:c>
      <x:c r="F91" s="102" t="n">
        <x:v>1068027</x:v>
      </x:c>
      <x:c r="G91" s="126" t="n">
        <x:f>D91/F91*100000</x:f>
        <x:v>537.4395965645064</x:v>
      </x:c>
      <x:c r="H91" s="127" t="n">
        <x:f>1+COUNTIFS($C$4:$C$802,C91,$G$4:$G$802,"&gt;"&amp;G91)</x:f>
        <x:v>4</x:v>
      </x:c>
      <x:c r="I91" s="128" t="n">
        <x:f>D91/SUMIF($C$4:$C$802,C91,$D$4:$D$802)</x:f>
        <x:v>0.011831758170406175</x:v>
      </x:c>
      <x:c r="J91" s="103" t="n">
        <x:f>(D91/SUMIF($A$4:$A$802,A91,$D$4:$D$802))/(SUMIF($C$4:$C$802,C91,$D$4:$D$802)/SUM($D$4:$D$802))</x:f>
        <x:v>1.1700061473193644</x:v>
      </x:c>
    </x:row>
    <x:row r="92">
      <x:c r="A92" s="101" t="str">
        <x:v>山形県</x:v>
      </x:c>
      <x:c r="B92" s="101" t="str">
        <x:v>E</x:v>
      </x:c>
      <x:c r="C92" s="101" t="str">
        <x:v>製造業</x:v>
      </x:c>
      <x:c r="D92" s="102" t="n">
        <x:v>4515</x:v>
      </x:c>
      <x:c r="E92" s="102" t="n">
        <x:f>1+COUNTIFS($C$4:$C$802,C92,$D$4:$D$802,"&gt;"&amp;D92)</x:f>
        <x:v>29</x:v>
      </x:c>
      <x:c r="F92" s="102" t="n">
        <x:v>1068027</x:v>
      </x:c>
      <x:c r="G92" s="126" t="n">
        <x:f>D92/F92*100000</x:f>
        <x:v>422.7421216879349</x:v>
      </x:c>
      <x:c r="H92" s="127" t="n">
        <x:f>1+COUNTIFS($C$4:$C$802,C92,$G$4:$G$802,"&gt;"&amp;G92)</x:f>
        <x:v>13</x:v>
      </x:c>
      <x:c r="I92" s="128" t="n">
        <x:f>D92/SUMIF($C$4:$C$802,C92,$D$4:$D$802)</x:f>
        <x:v>0.010942350896836534</x:v>
      </x:c>
      <x:c r="J92" s="103" t="n">
        <x:f>(D92/SUMIF($A$4:$A$802,A92,$D$4:$D$802))/(SUMIF($C$4:$C$802,C92,$D$4:$D$802)/SUM($D$4:$D$802))</x:f>
        <x:v>1.0820553996316846</x:v>
      </x:c>
    </x:row>
    <x:row r="93">
      <x:c r="A93" s="101" t="str">
        <x:v>山形県</x:v>
      </x:c>
      <x:c r="B93" s="101" t="str">
        <x:v>F</x:v>
      </x:c>
      <x:c r="C93" s="101" t="str">
        <x:v>電気・ガス・熱供給・水道業</x:v>
      </x:c>
      <x:c r="D93" s="102" t="n">
        <x:v>83</x:v>
      </x:c>
      <x:c r="E93" s="102" t="n">
        <x:f>1+COUNTIFS($C$4:$C$802,C93,$D$4:$D$802,"&gt;"&amp;D93)</x:f>
        <x:v>38</x:v>
      </x:c>
      <x:c r="F93" s="102" t="n">
        <x:v>1068027</x:v>
      </x:c>
      <x:c r="G93" s="126" t="n">
        <x:f>D93/F93*100000</x:f>
        <x:v>7.771339114086067</x:v>
      </x:c>
      <x:c r="H93" s="127" t="n">
        <x:f>1+COUNTIFS($C$4:$C$802,C93,$G$4:$G$802,"&gt;"&amp;G93)</x:f>
        <x:v>28</x:v>
      </x:c>
      <x:c r="I93" s="128" t="n">
        <x:f>D93/SUMIF($C$4:$C$802,C93,$D$4:$D$802)</x:f>
        <x:v>0.009081956450377503</x:v>
      </x:c>
      <x:c r="J93" s="103" t="n">
        <x:f>(D93/SUMIF($A$4:$A$802,A93,$D$4:$D$802))/(SUMIF($C$4:$C$802,C93,$D$4:$D$802)/SUM($D$4:$D$802))</x:f>
        <x:v>0.8980867191155287</x:v>
      </x:c>
    </x:row>
    <x:row r="94">
      <x:c r="A94" s="101" t="str">
        <x:v>山形県</x:v>
      </x:c>
      <x:c r="B94" s="101" t="str">
        <x:v>G</x:v>
      </x:c>
      <x:c r="C94" s="101" t="str">
        <x:v>情報通信業</x:v>
      </x:c>
      <x:c r="D94" s="102" t="n">
        <x:v>336</x:v>
      </x:c>
      <x:c r="E94" s="102" t="n">
        <x:f>1+COUNTIFS($C$4:$C$802,C94,$D$4:$D$802,"&gt;"&amp;D94)</x:f>
        <x:v>38</x:v>
      </x:c>
      <x:c r="F94" s="102" t="n">
        <x:v>1068027</x:v>
      </x:c>
      <x:c r="G94" s="126" t="n">
        <x:f>D94/F94*100000</x:f>
        <x:v>31.459878823288175</x:v>
      </x:c>
      <x:c r="H94" s="127" t="n">
        <x:f>1+COUNTIFS($C$4:$C$802,C94,$G$4:$G$802,"&gt;"&amp;G94)</x:f>
        <x:v>32</x:v>
      </x:c>
      <x:c r="I94" s="128" t="n">
        <x:f>D94/SUMIF($C$4:$C$802,C94,$D$4:$D$802)</x:f>
        <x:v>0.0043887720581512295</x:v>
      </x:c>
      <x:c r="J94" s="103" t="n">
        <x:f>(D94/SUMIF($A$4:$A$802,A94,$D$4:$D$802))/(SUMIF($C$4:$C$802,C94,$D$4:$D$802)/SUM($D$4:$D$802))</x:f>
        <x:v>0.4339921601900118</x:v>
      </x:c>
    </x:row>
    <x:row r="95">
      <x:c r="A95" s="101" t="str">
        <x:v>山形県</x:v>
      </x:c>
      <x:c r="B95" s="101" t="str">
        <x:v>H</x:v>
      </x:c>
      <x:c r="C95" s="101" t="str">
        <x:v>運輸業，郵便業</x:v>
      </x:c>
      <x:c r="D95" s="102" t="n">
        <x:v>938</x:v>
      </x:c>
      <x:c r="E95" s="102" t="n">
        <x:f>1+COUNTIFS($C$4:$C$802,C95,$D$4:$D$802,"&gt;"&amp;D95)</x:f>
        <x:v>36</x:v>
      </x:c>
      <x:c r="F95" s="102" t="n">
        <x:v>1068027</x:v>
      </x:c>
      <x:c r="G95" s="126" t="n">
        <x:f>D95/F95*100000</x:f>
        <x:v>87.82549504834616</x:v>
      </x:c>
      <x:c r="H95" s="127" t="n">
        <x:f>1+COUNTIFS($C$4:$C$802,C95,$G$4:$G$802,"&gt;"&amp;G95)</x:f>
        <x:v>43</x:v>
      </x:c>
      <x:c r="I95" s="128" t="n">
        <x:f>D95/SUMIF($C$4:$C$802,C95,$D$4:$D$802)</x:f>
        <x:v>0.007315323184427252</x:v>
      </x:c>
      <x:c r="J95" s="103" t="n">
        <x:f>(D95/SUMIF($A$4:$A$802,A95,$D$4:$D$802))/(SUMIF($C$4:$C$802,C95,$D$4:$D$802)/SUM($D$4:$D$802))</x:f>
        <x:v>0.7233897931429687</x:v>
      </x:c>
    </x:row>
    <x:row r="96">
      <x:c r="A96" s="101" t="str">
        <x:v>山形県</x:v>
      </x:c>
      <x:c r="B96" s="101" t="str">
        <x:v>I</x:v>
      </x:c>
      <x:c r="C96" s="101" t="str">
        <x:v>卸売業，小売業</x:v>
      </x:c>
      <x:c r="D96" s="102" t="n">
        <x:v>12793</x:v>
      </x:c>
      <x:c r="E96" s="102" t="n">
        <x:f>1+COUNTIFS($C$4:$C$802,C96,$D$4:$D$802,"&gt;"&amp;D96)</x:f>
        <x:v>32</x:v>
      </x:c>
      <x:c r="F96" s="102" t="n">
        <x:v>1068027</x:v>
      </x:c>
      <x:c r="G96" s="126" t="n">
        <x:f>D96/F96*100000</x:f>
        <x:v>1197.81616007835</x:v>
      </x:c>
      <x:c r="H96" s="127" t="n">
        <x:f>1+COUNTIFS($C$4:$C$802,C96,$G$4:$G$802,"&gt;"&amp;G96)</x:f>
        <x:v>6</x:v>
      </x:c>
      <x:c r="I96" s="128" t="n">
        <x:f>D96/SUMIF($C$4:$C$802,C96,$D$4:$D$802)</x:f>
        <x:v>0.010409953455066238</x:v>
      </x:c>
      <x:c r="J96" s="103" t="n">
        <x:f>(D96/SUMIF($A$4:$A$802,A96,$D$4:$D$802))/(SUMIF($C$4:$C$802,C96,$D$4:$D$802)/SUM($D$4:$D$802))</x:f>
        <x:v>1.0294082553343662</x:v>
      </x:c>
    </x:row>
    <x:row r="97">
      <x:c r="A97" s="101" t="str">
        <x:v>山形県</x:v>
      </x:c>
      <x:c r="B97" s="101" t="str">
        <x:v>J</x:v>
      </x:c>
      <x:c r="C97" s="101" t="str">
        <x:v>金融業，保険業</x:v>
      </x:c>
      <x:c r="D97" s="102" t="n">
        <x:v>848</x:v>
      </x:c>
      <x:c r="E97" s="102" t="n">
        <x:f>1+COUNTIFS($C$4:$C$802,C97,$D$4:$D$802,"&gt;"&amp;D97)</x:f>
        <x:v>35</x:v>
      </x:c>
      <x:c r="F97" s="102" t="n">
        <x:v>1068027</x:v>
      </x:c>
      <x:c r="G97" s="126" t="n">
        <x:f>D97/F97*100000</x:f>
        <x:v>79.39874179210825</x:v>
      </x:c>
      <x:c r="H97" s="127" t="n">
        <x:f>1+COUNTIFS($C$4:$C$802,C97,$G$4:$G$802,"&gt;"&amp;G97)</x:f>
        <x:v>14</x:v>
      </x:c>
      <x:c r="I97" s="128" t="n">
        <x:f>D97/SUMIF($C$4:$C$802,C97,$D$4:$D$802)</x:f>
        <x:v>0.010113056337356294</x:v>
      </x:c>
      <x:c r="J97" s="103" t="n">
        <x:f>(D97/SUMIF($A$4:$A$802,A97,$D$4:$D$802))/(SUMIF($C$4:$C$802,C97,$D$4:$D$802)/SUM($D$4:$D$802))</x:f>
        <x:v>1.0000490132133697</x:v>
      </x:c>
    </x:row>
    <x:row r="98">
      <x:c r="A98" s="101" t="str">
        <x:v>山形県</x:v>
      </x:c>
      <x:c r="B98" s="101" t="str">
        <x:v>K</x:v>
      </x:c>
      <x:c r="C98" s="101" t="str">
        <x:v>不動産業，物品賃貸業</x:v>
      </x:c>
      <x:c r="D98" s="102" t="n">
        <x:v>2514</x:v>
      </x:c>
      <x:c r="E98" s="102" t="n">
        <x:f>1+COUNTIFS($C$4:$C$802,C98,$D$4:$D$802,"&gt;"&amp;D98)</x:f>
        <x:v>37</x:v>
      </x:c>
      <x:c r="F98" s="102" t="n">
        <x:v>1068027</x:v>
      </x:c>
      <x:c r="G98" s="126" t="n">
        <x:f>D98/F98*100000</x:f>
        <x:v>235.38730762424544</x:v>
      </x:c>
      <x:c r="H98" s="127" t="n">
        <x:f>1+COUNTIFS($C$4:$C$802,C98,$G$4:$G$802,"&gt;"&amp;G98)</x:f>
        <x:v>32</x:v>
      </x:c>
      <x:c r="I98" s="128" t="n">
        <x:f>D98/SUMIF($C$4:$C$802,C98,$D$4:$D$802)</x:f>
        <x:v>0.006713739397953298</x:v>
      </x:c>
      <x:c r="J98" s="103" t="n">
        <x:f>(D98/SUMIF($A$4:$A$802,A98,$D$4:$D$802))/(SUMIF($C$4:$C$802,C98,$D$4:$D$802)/SUM($D$4:$D$802))</x:f>
        <x:v>0.6639010241734772</x:v>
      </x:c>
    </x:row>
    <x:row r="99">
      <x:c r="A99" s="101" t="str">
        <x:v>山形県</x:v>
      </x:c>
      <x:c r="B99" s="101" t="str">
        <x:v>L</x:v>
      </x:c>
      <x:c r="C99" s="101" t="str">
        <x:v>学術研究，専門・技術サービス業</x:v>
      </x:c>
      <x:c r="D99" s="102" t="n">
        <x:v>1813</x:v>
      </x:c>
      <x:c r="E99" s="102" t="n">
        <x:f>1+COUNTIFS($C$4:$C$802,C99,$D$4:$D$802,"&gt;"&amp;D99)</x:f>
        <x:v>37</x:v>
      </x:c>
      <x:c r="F99" s="102" t="n">
        <x:v>1068027</x:v>
      </x:c>
      <x:c r="G99" s="126" t="n">
        <x:f>D99/F99*100000</x:f>
        <x:v>169.75226281732577</x:v>
      </x:c>
      <x:c r="H99" s="127" t="n">
        <x:f>1+COUNTIFS($C$4:$C$802,C99,$G$4:$G$802,"&gt;"&amp;G99)</x:f>
        <x:v>32</x:v>
      </x:c>
      <x:c r="I99" s="128" t="n">
        <x:f>D99/SUMIF($C$4:$C$802,C99,$D$4:$D$802)</x:f>
        <x:v>0.00718475073313783</x:v>
      </x:c>
      <x:c r="J99" s="103" t="n">
        <x:f>(D99/SUMIF($A$4:$A$802,A99,$D$4:$D$802))/(SUMIF($C$4:$C$802,C99,$D$4:$D$802)/SUM($D$4:$D$802))</x:f>
        <x:v>0.7104778853369678</x:v>
      </x:c>
    </x:row>
    <x:row r="100">
      <x:c r="A100" s="101" t="str">
        <x:v>山形県</x:v>
      </x:c>
      <x:c r="B100" s="101" t="str">
        <x:v>M</x:v>
      </x:c>
      <x:c r="C100" s="101" t="str">
        <x:v>宿泊業，飲食サービス業</x:v>
      </x:c>
      <x:c r="D100" s="102" t="n">
        <x:v>6030</x:v>
      </x:c>
      <x:c r="E100" s="102" t="n">
        <x:f>1+COUNTIFS($C$4:$C$802,C100,$D$4:$D$802,"&gt;"&amp;D100)</x:f>
        <x:v>33</x:v>
      </x:c>
      <x:c r="F100" s="102" t="n">
        <x:v>1068027</x:v>
      </x:c>
      <x:c r="G100" s="126" t="n">
        <x:f>D100/F100*100000</x:f>
        <x:v>564.5924681679396</x:v>
      </x:c>
      <x:c r="H100" s="127" t="n">
        <x:f>1+COUNTIFS($C$4:$C$802,C100,$G$4:$G$802,"&gt;"&amp;G100)</x:f>
        <x:v>9</x:v>
      </x:c>
      <x:c r="I100" s="128" t="n">
        <x:f>D100/SUMIF($C$4:$C$802,C100,$D$4:$D$802)</x:f>
        <x:v>0.010065803311198582</x:v>
      </x:c>
      <x:c r="J100" s="103" t="n">
        <x:f>(D100/SUMIF($A$4:$A$802,A100,$D$4:$D$802))/(SUMIF($C$4:$C$802,C100,$D$4:$D$802)/SUM($D$4:$D$802))</x:f>
        <x:v>0.9953763069014497</x:v>
      </x:c>
    </x:row>
    <x:row r="101">
      <x:c r="A101" s="101" t="str">
        <x:v>山形県</x:v>
      </x:c>
      <x:c r="B101" s="101" t="str">
        <x:v>N</x:v>
      </x:c>
      <x:c r="C101" s="101" t="str">
        <x:v>生活関連サービス業，娯楽業</x:v>
      </x:c>
      <x:c r="D101" s="102" t="n">
        <x:v>5599</x:v>
      </x:c>
      <x:c r="E101" s="102" t="n">
        <x:f>1+COUNTIFS($C$4:$C$802,C101,$D$4:$D$802,"&gt;"&amp;D101)</x:f>
        <x:v>27</x:v>
      </x:c>
      <x:c r="F101" s="102" t="n">
        <x:v>1068027</x:v>
      </x:c>
      <x:c r="G101" s="126" t="n">
        <x:f>D101/F101*100000</x:f>
        <x:v>524.2376831297337</x:v>
      </x:c>
      <x:c r="H101" s="127" t="n">
        <x:f>1+COUNTIFS($C$4:$C$802,C101,$G$4:$G$802,"&gt;"&amp;G101)</x:f>
        <x:v>2</x:v>
      </x:c>
      <x:c r="I101" s="128" t="n">
        <x:f>D101/SUMIF($C$4:$C$802,C101,$D$4:$D$802)</x:f>
        <x:v>0.012894711993533068</x:v>
      </x:c>
      <x:c r="J101" s="103" t="n">
        <x:f>(D101/SUMIF($A$4:$A$802,A101,$D$4:$D$802))/(SUMIF($C$4:$C$802,C101,$D$4:$D$802)/SUM($D$4:$D$802))</x:f>
        <x:v>1.2751183791164744</x:v>
      </x:c>
    </x:row>
    <x:row r="102">
      <x:c r="A102" s="101" t="str">
        <x:v>山形県</x:v>
      </x:c>
      <x:c r="B102" s="101" t="str">
        <x:v>O</x:v>
      </x:c>
      <x:c r="C102" s="101" t="str">
        <x:v>教育，学習支援業</x:v>
      </x:c>
      <x:c r="D102" s="102" t="n">
        <x:v>1267</x:v>
      </x:c>
      <x:c r="E102" s="102" t="n">
        <x:f>1+COUNTIFS($C$4:$C$802,C102,$D$4:$D$802,"&gt;"&amp;D102)</x:f>
        <x:v>40</x:v>
      </x:c>
      <x:c r="F102" s="102" t="n">
        <x:v>1068027</x:v>
      </x:c>
      <x:c r="G102" s="126" t="n">
        <x:f>D102/F102*100000</x:f>
        <x:v>118.6299597294825</x:v>
      </x:c>
      <x:c r="H102" s="127" t="n">
        <x:f>1+COUNTIFS($C$4:$C$802,C102,$G$4:$G$802,"&gt;"&amp;G102)</x:f>
        <x:v>37</x:v>
      </x:c>
      <x:c r="I102" s="128" t="n">
        <x:f>D102/SUMIF($C$4:$C$802,C102,$D$4:$D$802)</x:f>
        <x:v>0.007756019025814627</x:v>
      </x:c>
      <x:c r="J102" s="103" t="n">
        <x:f>(D102/SUMIF($A$4:$A$802,A102,$D$4:$D$802))/(SUMIF($C$4:$C$802,C102,$D$4:$D$802)/SUM($D$4:$D$802))</x:f>
        <x:v>0.7669688484359495</x:v>
      </x:c>
    </x:row>
    <x:row r="103">
      <x:c r="A103" s="101" t="str">
        <x:v>山形県</x:v>
      </x:c>
      <x:c r="B103" s="101" t="str">
        <x:v>P</x:v>
      </x:c>
      <x:c r="C103" s="101" t="str">
        <x:v>医療，福祉</x:v>
      </x:c>
      <x:c r="D103" s="102" t="n">
        <x:v>4190</x:v>
      </x:c>
      <x:c r="E103" s="102" t="n">
        <x:f>1+COUNTIFS($C$4:$C$802,C103,$D$4:$D$802,"&gt;"&amp;D103)</x:f>
        <x:v>36</x:v>
      </x:c>
      <x:c r="F103" s="102" t="n">
        <x:v>1068027</x:v>
      </x:c>
      <x:c r="G103" s="126" t="n">
        <x:f>D103/F103*100000</x:f>
        <x:v>392.3121793737425</x:v>
      </x:c>
      <x:c r="H103" s="127" t="n">
        <x:f>1+COUNTIFS($C$4:$C$802,C103,$G$4:$G$802,"&gt;"&amp;G103)</x:f>
        <x:v>19</x:v>
      </x:c>
      <x:c r="I103" s="128" t="n">
        <x:f>D103/SUMIF($C$4:$C$802,C103,$D$4:$D$802)</x:f>
        <x:v>0.009058852271523423</x:v>
      </x:c>
      <x:c r="J103" s="103" t="n">
        <x:f>(D103/SUMIF($A$4:$A$802,A103,$D$4:$D$802))/(SUMIF($C$4:$C$802,C103,$D$4:$D$802)/SUM($D$4:$D$802))</x:f>
        <x:v>0.8958020179833119</x:v>
      </x:c>
    </x:row>
    <x:row r="104">
      <x:c r="A104" s="101" t="str">
        <x:v>山形県</x:v>
      </x:c>
      <x:c r="B104" s="101" t="str">
        <x:v>Q</x:v>
      </x:c>
      <x:c r="C104" s="101" t="str">
        <x:v>複合サービス事業</x:v>
      </x:c>
      <x:c r="D104" s="102" t="n">
        <x:v>537</x:v>
      </x:c>
      <x:c r="E104" s="102" t="n">
        <x:f>1+COUNTIFS($C$4:$C$802,C104,$D$4:$D$802,"&gt;"&amp;D104)</x:f>
        <x:v>26</x:v>
      </x:c>
      <x:c r="F104" s="102" t="n">
        <x:v>1068027</x:v>
      </x:c>
      <x:c r="G104" s="126" t="n">
        <x:f>D104/F104*100000</x:f>
        <x:v>50.2796277622195</x:v>
      </x:c>
      <x:c r="H104" s="127" t="n">
        <x:f>1+COUNTIFS($C$4:$C$802,C104,$G$4:$G$802,"&gt;"&amp;G104)</x:f>
        <x:v>6</x:v>
      </x:c>
      <x:c r="I104" s="128" t="n">
        <x:f>D104/SUMIF($C$4:$C$802,C104,$D$4:$D$802)</x:f>
        <x:v>0.016712831844636022</x:v>
      </x:c>
      <x:c r="J104" s="103" t="n">
        <x:f>(D104/SUMIF($A$4:$A$802,A104,$D$4:$D$802))/(SUMIF($C$4:$C$802,C104,$D$4:$D$802)/SUM($D$4:$D$802))</x:f>
        <x:v>1.6526804990189974</x:v>
      </x:c>
    </x:row>
    <x:row r="105">
      <x:c r="A105" s="101" t="str">
        <x:v>山形県</x:v>
      </x:c>
      <x:c r="B105" s="101" t="str">
        <x:v>R</x:v>
      </x:c>
      <x:c r="C105" s="101" t="str">
        <x:v>サービス業（他に分類されないもの）</x:v>
      </x:c>
      <x:c r="D105" s="102" t="n">
        <x:v>4159</x:v>
      </x:c>
      <x:c r="E105" s="102" t="n">
        <x:f>1+COUNTIFS($C$4:$C$802,C105,$D$4:$D$802,"&gt;"&amp;D105)</x:f>
        <x:v>32</x:v>
      </x:c>
      <x:c r="F105" s="102" t="n">
        <x:v>1068027</x:v>
      </x:c>
      <x:c r="G105" s="126" t="n">
        <x:f>D105/F105*100000</x:f>
        <x:v>389.40963102992714</x:v>
      </x:c>
      <x:c r="H105" s="127" t="n">
        <x:f>1+COUNTIFS($C$4:$C$802,C105,$G$4:$G$802,"&gt;"&amp;G105)</x:f>
        <x:v>8</x:v>
      </x:c>
      <x:c r="I105" s="128" t="n">
        <x:f>D105/SUMIF($C$4:$C$802,C105,$D$4:$D$802)</x:f>
        <x:v>0.011264530946989806</x:v>
      </x:c>
      <x:c r="J105" s="103" t="n">
        <x:f>(D105/SUMIF($A$4:$A$802,A105,$D$4:$D$802))/(SUMIF($C$4:$C$802,C105,$D$4:$D$802)/SUM($D$4:$D$802))</x:f>
        <x:v>1.1139147931211348</x:v>
      </x:c>
    </x:row>
    <x:row r="106">
      <x:c r="A106" s="101" t="str">
        <x:v>福島県</x:v>
      </x:c>
      <x:c r="B106" s="101" t="str">
        <x:v>AB</x:v>
      </x:c>
      <x:c r="C106" s="101" t="str">
        <x:v>農林漁業</x:v>
      </x:c>
      <x:c r="D106" s="102" t="n">
        <x:v>902</x:v>
      </x:c>
      <x:c r="E106" s="102" t="n">
        <x:f>1+COUNTIFS($C$4:$C$802,C106,$D$4:$D$802,"&gt;"&amp;D106)</x:f>
        <x:v>19</x:v>
      </x:c>
      <x:c r="F106" s="102" t="n">
        <x:v>1833152</x:v>
      </x:c>
      <x:c r="G106" s="126" t="n">
        <x:f>D106/F106*100000</x:f>
        <x:v>49.204866808644354</x:v>
      </x:c>
      <x:c r="H106" s="127" t="n">
        <x:f>1+COUNTIFS($C$4:$C$802,C106,$G$4:$G$802,"&gt;"&amp;G106)</x:f>
        <x:v>24</x:v>
      </x:c>
      <x:c r="I106" s="128" t="n">
        <x:f>D106/SUMIF($C$4:$C$802,C106,$D$4:$D$802)</x:f>
        <x:v>0.021244524000188423</x:v>
      </x:c>
      <x:c r="J106" s="103" t="n">
        <x:f>(D106/SUMIF($A$4:$A$802,A106,$D$4:$D$802))/(SUMIF($C$4:$C$802,C106,$D$4:$D$802)/SUM($D$4:$D$802))</x:f>
        <x:v>1.341113216082661</x:v>
      </x:c>
    </x:row>
    <x:row r="107">
      <x:c r="A107" s="101" t="str">
        <x:v>福島県</x:v>
      </x:c>
      <x:c r="B107" s="101" t="str">
        <x:v>C</x:v>
      </x:c>
      <x:c r="C107" s="101" t="str">
        <x:v>鉱業，採石業，砂利採取業</x:v>
      </x:c>
      <x:c r="D107" s="102" t="n">
        <x:v>62</x:v>
      </x:c>
      <x:c r="E107" s="102" t="n">
        <x:f>1+COUNTIFS($C$4:$C$802,C107,$D$4:$D$802,"&gt;"&amp;D107)</x:f>
        <x:v>8</x:v>
      </x:c>
      <x:c r="F107" s="102" t="n">
        <x:v>1833152</x:v>
      </x:c>
      <x:c r="G107" s="126" t="n">
        <x:f>D107/F107*100000</x:f>
        <x:v>3.382152707467793</x:v>
      </x:c>
      <x:c r="H107" s="127" t="n">
        <x:f>1+COUNTIFS($C$4:$C$802,C107,$G$4:$G$802,"&gt;"&amp;G107)</x:f>
        <x:v>9</x:v>
      </x:c>
      <x:c r="I107" s="128" t="n">
        <x:f>D107/SUMIF($C$4:$C$802,C107,$D$4:$D$802)</x:f>
        <x:v>0.03324396782841823</x:v>
      </x:c>
      <x:c r="J107" s="103" t="n">
        <x:f>(D107/SUMIF($A$4:$A$802,A107,$D$4:$D$802))/(SUMIF($C$4:$C$802,C107,$D$4:$D$802)/SUM($D$4:$D$802))</x:f>
        <x:v>2.098607839334177</x:v>
      </x:c>
    </x:row>
    <x:row r="108">
      <x:c r="A108" s="101" t="str">
        <x:v>福島県</x:v>
      </x:c>
      <x:c r="B108" s="101" t="str">
        <x:v>D</x:v>
      </x:c>
      <x:c r="C108" s="101" t="str">
        <x:v>建設業</x:v>
      </x:c>
      <x:c r="D108" s="102" t="n">
        <x:v>9987</x:v>
      </x:c>
      <x:c r="E108" s="102" t="n">
        <x:f>1+COUNTIFS($C$4:$C$802,C108,$D$4:$D$802,"&gt;"&amp;D108)</x:f>
        <x:v>16</x:v>
      </x:c>
      <x:c r="F108" s="102" t="n">
        <x:v>1833152</x:v>
      </x:c>
      <x:c r="G108" s="126" t="n">
        <x:f>D108/F108*100000</x:f>
        <x:v>544.7993401529169</x:v>
      </x:c>
      <x:c r="H108" s="127" t="n">
        <x:f>1+COUNTIFS($C$4:$C$802,C108,$G$4:$G$802,"&gt;"&amp;G108)</x:f>
        <x:v>3</x:v>
      </x:c>
      <x:c r="I108" s="128" t="n">
        <x:f>D108/SUMIF($C$4:$C$802,C108,$D$4:$D$802)</x:f>
        <x:v>0.020586022447360013</x:v>
      </x:c>
      <x:c r="J108" s="103" t="n">
        <x:f>(D108/SUMIF($A$4:$A$802,A108,$D$4:$D$802))/(SUMIF($C$4:$C$802,C108,$D$4:$D$802)/SUM($D$4:$D$802))</x:f>
        <x:v>1.2995436739596509</x:v>
      </x:c>
    </x:row>
    <x:row r="109">
      <x:c r="A109" s="101" t="str">
        <x:v>福島県</x:v>
      </x:c>
      <x:c r="B109" s="101" t="str">
        <x:v>E</x:v>
      </x:c>
      <x:c r="C109" s="101" t="str">
        <x:v>製造業</x:v>
      </x:c>
      <x:c r="D109" s="102" t="n">
        <x:v>6379</x:v>
      </x:c>
      <x:c r="E109" s="102" t="n">
        <x:f>1+COUNTIFS($C$4:$C$802,C109,$D$4:$D$802,"&gt;"&amp;D109)</x:f>
        <x:v>20</x:v>
      </x:c>
      <x:c r="F109" s="102" t="n">
        <x:v>1833152</x:v>
      </x:c>
      <x:c r="G109" s="126" t="n">
        <x:f>D109/F109*100000</x:f>
        <x:v>347.97987291833954</x:v>
      </x:c>
      <x:c r="H109" s="127" t="n">
        <x:f>1+COUNTIFS($C$4:$C$802,C109,$G$4:$G$802,"&gt;"&amp;G109)</x:f>
        <x:v>19</x:v>
      </x:c>
      <x:c r="I109" s="128" t="n">
        <x:f>D109/SUMIF($C$4:$C$802,C109,$D$4:$D$802)</x:f>
        <x:v>0.015459857446493964</x:v>
      </x:c>
      <x:c r="J109" s="103" t="n">
        <x:f>(D109/SUMIF($A$4:$A$802,A109,$D$4:$D$802))/(SUMIF($C$4:$C$802,C109,$D$4:$D$802)/SUM($D$4:$D$802))</x:f>
        <x:v>0.9759418069363713</x:v>
      </x:c>
    </x:row>
    <x:row r="110">
      <x:c r="A110" s="101" t="str">
        <x:v>福島県</x:v>
      </x:c>
      <x:c r="B110" s="101" t="str">
        <x:v>F</x:v>
      </x:c>
      <x:c r="C110" s="101" t="str">
        <x:v>電気・ガス・熱供給・水道業</x:v>
      </x:c>
      <x:c r="D110" s="102" t="n">
        <x:v>199</x:v>
      </x:c>
      <x:c r="E110" s="102" t="n">
        <x:f>1+COUNTIFS($C$4:$C$802,C110,$D$4:$D$802,"&gt;"&amp;D110)</x:f>
        <x:v>18</x:v>
      </x:c>
      <x:c r="F110" s="102" t="n">
        <x:v>1833152</x:v>
      </x:c>
      <x:c r="G110" s="126" t="n">
        <x:f>D110/F110*100000</x:f>
        <x:v>10.855619173969208</x:v>
      </x:c>
      <x:c r="H110" s="127" t="n">
        <x:f>1+COUNTIFS($C$4:$C$802,C110,$G$4:$G$802,"&gt;"&amp;G110)</x:f>
        <x:v>16</x:v>
      </x:c>
      <x:c r="I110" s="128" t="n">
        <x:f>D110/SUMIF($C$4:$C$802,C110,$D$4:$D$802)</x:f>
        <x:v>0.02177481124849546</x:v>
      </x:c>
      <x:c r="J110" s="103" t="n">
        <x:f>(D110/SUMIF($A$4:$A$802,A110,$D$4:$D$802))/(SUMIF($C$4:$C$802,C110,$D$4:$D$802)/SUM($D$4:$D$802))</x:f>
        <x:v>1.3745889125500599</x:v>
      </x:c>
    </x:row>
    <x:row r="111">
      <x:c r="A111" s="101" t="str">
        <x:v>福島県</x:v>
      </x:c>
      <x:c r="B111" s="101" t="str">
        <x:v>G</x:v>
      </x:c>
      <x:c r="C111" s="101" t="str">
        <x:v>情報通信業</x:v>
      </x:c>
      <x:c r="D111" s="102" t="n">
        <x:v>551</x:v>
      </x:c>
      <x:c r="E111" s="102" t="n">
        <x:f>1+COUNTIFS($C$4:$C$802,C111,$D$4:$D$802,"&gt;"&amp;D111)</x:f>
        <x:v>23</x:v>
      </x:c>
      <x:c r="F111" s="102" t="n">
        <x:v>1833152</x:v>
      </x:c>
      <x:c r="G111" s="126" t="n">
        <x:f>D111/F111*100000</x:f>
        <x:v>30.057518416367003</x:v>
      </x:c>
      <x:c r="H111" s="127" t="n">
        <x:f>1+COUNTIFS($C$4:$C$802,C111,$G$4:$G$802,"&gt;"&amp;G111)</x:f>
        <x:v>36</x:v>
      </x:c>
      <x:c r="I111" s="128" t="n">
        <x:f>D111/SUMIF($C$4:$C$802,C111,$D$4:$D$802)</x:f>
        <x:v>0.007197063702503951</x:v>
      </x:c>
      <x:c r="J111" s="103" t="n">
        <x:f>(D111/SUMIF($A$4:$A$802,A111,$D$4:$D$802))/(SUMIF($C$4:$C$802,C111,$D$4:$D$802)/SUM($D$4:$D$802))</x:f>
        <x:v>0.4543324787286951</x:v>
      </x:c>
    </x:row>
    <x:row r="112">
      <x:c r="A112" s="101" t="str">
        <x:v>福島県</x:v>
      </x:c>
      <x:c r="B112" s="101" t="str">
        <x:v>H</x:v>
      </x:c>
      <x:c r="C112" s="101" t="str">
        <x:v>運輸業，郵便業</x:v>
      </x:c>
      <x:c r="D112" s="102" t="n">
        <x:v>1940</x:v>
      </x:c>
      <x:c r="E112" s="102" t="n">
        <x:f>1+COUNTIFS($C$4:$C$802,C112,$D$4:$D$802,"&gt;"&amp;D112)</x:f>
        <x:v>20</x:v>
      </x:c>
      <x:c r="F112" s="102" t="n">
        <x:v>1833152</x:v>
      </x:c>
      <x:c r="G112" s="126" t="n">
        <x:f>D112/F112*100000</x:f>
        <x:v>105.82864923366967</x:v>
      </x:c>
      <x:c r="H112" s="127" t="n">
        <x:f>1+COUNTIFS($C$4:$C$802,C112,$G$4:$G$802,"&gt;"&amp;G112)</x:f>
        <x:v>20</x:v>
      </x:c>
      <x:c r="I112" s="128" t="n">
        <x:f>D112/SUMIF($C$4:$C$802,C112,$D$4:$D$802)</x:f>
        <x:v>0.015129772897429498</x:v>
      </x:c>
      <x:c r="J112" s="103" t="n">
        <x:f>(D112/SUMIF($A$4:$A$802,A112,$D$4:$D$802))/(SUMIF($C$4:$C$802,C112,$D$4:$D$802)/SUM($D$4:$D$802))</x:f>
        <x:v>0.9551044019104403</x:v>
      </x:c>
    </x:row>
    <x:row r="113">
      <x:c r="A113" s="101" t="str">
        <x:v>福島県</x:v>
      </x:c>
      <x:c r="B113" s="101" t="str">
        <x:v>I</x:v>
      </x:c>
      <x:c r="C113" s="101" t="str">
        <x:v>卸売業，小売業</x:v>
      </x:c>
      <x:c r="D113" s="102" t="n">
        <x:v>19975</x:v>
      </x:c>
      <x:c r="E113" s="102" t="n">
        <x:f>1+COUNTIFS($C$4:$C$802,C113,$D$4:$D$802,"&gt;"&amp;D113)</x:f>
        <x:v>18</x:v>
      </x:c>
      <x:c r="F113" s="102" t="n">
        <x:v>1833152</x:v>
      </x:c>
      <x:c r="G113" s="126" t="n">
        <x:f>D113/F113*100000</x:f>
        <x:v>1089.6532311559542</x:v>
      </x:c>
      <x:c r="H113" s="127" t="n">
        <x:f>1+COUNTIFS($C$4:$C$802,C113,$G$4:$G$802,"&gt;"&amp;G113)</x:f>
        <x:v>24</x:v>
      </x:c>
      <x:c r="I113" s="128" t="n">
        <x:f>D113/SUMIF($C$4:$C$802,C113,$D$4:$D$802)</x:f>
        <x:v>0.01625410929922208</x:v>
      </x:c>
      <x:c r="J113" s="103" t="n">
        <x:f>(D113/SUMIF($A$4:$A$802,A113,$D$4:$D$802))/(SUMIF($C$4:$C$802,C113,$D$4:$D$802)/SUM($D$4:$D$802))</x:f>
        <x:v>1.0260809230955459</x:v>
      </x:c>
    </x:row>
    <x:row r="114">
      <x:c r="A114" s="101" t="str">
        <x:v>福島県</x:v>
      </x:c>
      <x:c r="B114" s="101" t="str">
        <x:v>J</x:v>
      </x:c>
      <x:c r="C114" s="101" t="str">
        <x:v>金融業，保険業</x:v>
      </x:c>
      <x:c r="D114" s="102" t="n">
        <x:v>1395</x:v>
      </x:c>
      <x:c r="E114" s="102" t="n">
        <x:f>1+COUNTIFS($C$4:$C$802,C114,$D$4:$D$802,"&gt;"&amp;D114)</x:f>
        <x:v>19</x:v>
      </x:c>
      <x:c r="F114" s="102" t="n">
        <x:v>1833152</x:v>
      </x:c>
      <x:c r="G114" s="126" t="n">
        <x:f>D114/F114*100000</x:f>
        <x:v>76.09843591802534</x:v>
      </x:c>
      <x:c r="H114" s="127" t="n">
        <x:f>1+COUNTIFS($C$4:$C$802,C114,$G$4:$G$802,"&gt;"&amp;G114)</x:f>
        <x:v>22</x:v>
      </x:c>
      <x:c r="I114" s="128" t="n">
        <x:f>D114/SUMIF($C$4:$C$802,C114,$D$4:$D$802)</x:f>
        <x:v>0.016636454705910412</x:v>
      </x:c>
      <x:c r="J114" s="103" t="n">
        <x:f>(D114/SUMIF($A$4:$A$802,A114,$D$4:$D$802))/(SUMIF($C$4:$C$802,C114,$D$4:$D$802)/SUM($D$4:$D$802))</x:f>
        <x:v>1.050217424248204</x:v>
      </x:c>
    </x:row>
    <x:row r="115">
      <x:c r="A115" s="101" t="str">
        <x:v>福島県</x:v>
      </x:c>
      <x:c r="B115" s="101" t="str">
        <x:v>K</x:v>
      </x:c>
      <x:c r="C115" s="101" t="str">
        <x:v>不動産業，物品賃貸業</x:v>
      </x:c>
      <x:c r="D115" s="102" t="n">
        <x:v>4869</x:v>
      </x:c>
      <x:c r="E115" s="102" t="n">
        <x:f>1+COUNTIFS($C$4:$C$802,C115,$D$4:$D$802,"&gt;"&amp;D115)</x:f>
        <x:v>20</x:v>
      </x:c>
      <x:c r="F115" s="102" t="n">
        <x:v>1833152</x:v>
      </x:c>
      <x:c r="G115" s="126" t="n">
        <x:f>D115/F115*100000</x:f>
        <x:v>265.60808923646266</x:v>
      </x:c>
      <x:c r="H115" s="127" t="n">
        <x:f>1+COUNTIFS($C$4:$C$802,C115,$G$4:$G$802,"&gt;"&amp;G115)</x:f>
        <x:v>21</x:v>
      </x:c>
      <x:c r="I115" s="128" t="n">
        <x:f>D115/SUMIF($C$4:$C$802,C115,$D$4:$D$802)</x:f>
        <x:v>0.013002862819663726</x:v>
      </x:c>
      <x:c r="J115" s="103" t="n">
        <x:f>(D115/SUMIF($A$4:$A$802,A115,$D$4:$D$802))/(SUMIF($C$4:$C$802,C115,$D$4:$D$802)/SUM($D$4:$D$802))</x:f>
        <x:v>0.8208379333048937</x:v>
      </x:c>
    </x:row>
    <x:row r="116">
      <x:c r="A116" s="101" t="str">
        <x:v>福島県</x:v>
      </x:c>
      <x:c r="B116" s="101" t="str">
        <x:v>L</x:v>
      </x:c>
      <x:c r="C116" s="101" t="str">
        <x:v>学術研究，専門・技術サービス業</x:v>
      </x:c>
      <x:c r="D116" s="102" t="n">
        <x:v>3255</x:v>
      </x:c>
      <x:c r="E116" s="102" t="n">
        <x:f>1+COUNTIFS($C$4:$C$802,C116,$D$4:$D$802,"&gt;"&amp;D116)</x:f>
        <x:v>21</x:v>
      </x:c>
      <x:c r="F116" s="102" t="n">
        <x:v>1833152</x:v>
      </x:c>
      <x:c r="G116" s="126" t="n">
        <x:f>D116/F116*100000</x:f>
        <x:v>177.56301714205912</x:v>
      </x:c>
      <x:c r="H116" s="127" t="n">
        <x:f>1+COUNTIFS($C$4:$C$802,C116,$G$4:$G$802,"&gt;"&amp;G116)</x:f>
        <x:v>25</x:v>
      </x:c>
      <x:c r="I116" s="128" t="n">
        <x:f>D116/SUMIF($C$4:$C$802,C116,$D$4:$D$802)</x:f>
        <x:v>0.012899262899262898</x:v>
      </x:c>
      <x:c r="J116" s="103" t="n">
        <x:f>(D116/SUMIF($A$4:$A$802,A116,$D$4:$D$802))/(SUMIF($C$4:$C$802,C116,$D$4:$D$802)/SUM($D$4:$D$802))</x:f>
        <x:v>0.8142979316351258</x:v>
      </x:c>
    </x:row>
    <x:row r="117">
      <x:c r="A117" s="101" t="str">
        <x:v>福島県</x:v>
      </x:c>
      <x:c r="B117" s="101" t="str">
        <x:v>M</x:v>
      </x:c>
      <x:c r="C117" s="101" t="str">
        <x:v>宿泊業，飲食サービス業</x:v>
      </x:c>
      <x:c r="D117" s="102" t="n">
        <x:v>9016</x:v>
      </x:c>
      <x:c r="E117" s="102" t="n">
        <x:f>1+COUNTIFS($C$4:$C$802,C117,$D$4:$D$802,"&gt;"&amp;D117)</x:f>
        <x:v>20</x:v>
      </x:c>
      <x:c r="F117" s="102" t="n">
        <x:v>1833152</x:v>
      </x:c>
      <x:c r="G117" s="126" t="n">
        <x:f>D117/F117*100000</x:f>
        <x:v>491.8304646859616</x:v>
      </x:c>
      <x:c r="H117" s="127" t="n">
        <x:f>1+COUNTIFS($C$4:$C$802,C117,$G$4:$G$802,"&gt;"&amp;G117)</x:f>
        <x:v>27</x:v>
      </x:c>
      <x:c r="I117" s="128" t="n">
        <x:f>D117/SUMIF($C$4:$C$802,C117,$D$4:$D$802)</x:f>
        <x:v>0.015050295630807033</x:v>
      </x:c>
      <x:c r="J117" s="103" t="n">
        <x:f>(D117/SUMIF($A$4:$A$802,A117,$D$4:$D$802))/(SUMIF($C$4:$C$802,C117,$D$4:$D$802)/SUM($D$4:$D$802))</x:f>
        <x:v>0.9500872025302816</x:v>
      </x:c>
    </x:row>
    <x:row r="118">
      <x:c r="A118" s="101" t="str">
        <x:v>福島県</x:v>
      </x:c>
      <x:c r="B118" s="101" t="str">
        <x:v>N</x:v>
      </x:c>
      <x:c r="C118" s="101" t="str">
        <x:v>生活関連サービス業，娯楽業</x:v>
      </x:c>
      <x:c r="D118" s="102" t="n">
        <x:v>7614</x:v>
      </x:c>
      <x:c r="E118" s="102" t="n">
        <x:f>1+COUNTIFS($C$4:$C$802,C118,$D$4:$D$802,"&gt;"&amp;D118)</x:f>
        <x:v>18</x:v>
      </x:c>
      <x:c r="F118" s="102" t="n">
        <x:v>1833152</x:v>
      </x:c>
      <x:c r="G118" s="126" t="n">
        <x:f>D118/F118*100000</x:f>
        <x:v>415.3501728170932</x:v>
      </x:c>
      <x:c r="H118" s="127" t="n">
        <x:f>1+COUNTIFS($C$4:$C$802,C118,$G$4:$G$802,"&gt;"&amp;G118)</x:f>
        <x:v>16</x:v>
      </x:c>
      <x:c r="I118" s="128" t="n">
        <x:f>D118/SUMIF($C$4:$C$802,C118,$D$4:$D$802)</x:f>
        <x:v>0.017535334366629896</x:v>
      </x:c>
      <x:c r="J118" s="103" t="n">
        <x:f>(D118/SUMIF($A$4:$A$802,A118,$D$4:$D$802))/(SUMIF($C$4:$C$802,C118,$D$4:$D$802)/SUM($D$4:$D$802))</x:f>
        <x:v>1.1069614300281454</x:v>
      </x:c>
    </x:row>
    <x:row r="119">
      <x:c r="A119" s="101" t="str">
        <x:v>福島県</x:v>
      </x:c>
      <x:c r="B119" s="101" t="str">
        <x:v>O</x:v>
      </x:c>
      <x:c r="C119" s="101" t="str">
        <x:v>教育，学習支援業</x:v>
      </x:c>
      <x:c r="D119" s="102" t="n">
        <x:v>2100</x:v>
      </x:c>
      <x:c r="E119" s="102" t="n">
        <x:f>1+COUNTIFS($C$4:$C$802,C119,$D$4:$D$802,"&gt;"&amp;D119)</x:f>
        <x:v>23</x:v>
      </x:c>
      <x:c r="F119" s="102" t="n">
        <x:v>1833152</x:v>
      </x:c>
      <x:c r="G119" s="126" t="n">
        <x:f>D119/F119*100000</x:f>
        <x:v>114.55678525294137</x:v>
      </x:c>
      <x:c r="H119" s="127" t="n">
        <x:f>1+COUNTIFS($C$4:$C$802,C119,$G$4:$G$802,"&gt;"&amp;G119)</x:f>
        <x:v>42</x:v>
      </x:c>
      <x:c r="I119" s="128" t="n">
        <x:f>D119/SUMIF($C$4:$C$802,C119,$D$4:$D$802)</x:f>
        <x:v>0.012855280153283912</x:v>
      </x:c>
      <x:c r="J119" s="103" t="n">
        <x:f>(D119/SUMIF($A$4:$A$802,A119,$D$4:$D$802))/(SUMIF($C$4:$C$802,C119,$D$4:$D$802)/SUM($D$4:$D$802))</x:f>
        <x:v>0.8115214118170538</x:v>
      </x:c>
    </x:row>
    <x:row r="120">
      <x:c r="A120" s="101" t="str">
        <x:v>福島県</x:v>
      </x:c>
      <x:c r="B120" s="101" t="str">
        <x:v>P</x:v>
      </x:c>
      <x:c r="C120" s="101" t="str">
        <x:v>医療，福祉</x:v>
      </x:c>
      <x:c r="D120" s="102" t="n">
        <x:v>6503</x:v>
      </x:c>
      <x:c r="E120" s="102" t="n">
        <x:f>1+COUNTIFS($C$4:$C$802,C120,$D$4:$D$802,"&gt;"&amp;D120)</x:f>
        <x:v>22</x:v>
      </x:c>
      <x:c r="F120" s="102" t="n">
        <x:v>1833152</x:v>
      </x:c>
      <x:c r="G120" s="126" t="n">
        <x:f>D120/F120*100000</x:f>
        <x:v>354.74417833327516</x:v>
      </x:c>
      <x:c r="H120" s="127" t="n">
        <x:f>1+COUNTIFS($C$4:$C$802,C120,$G$4:$G$802,"&gt;"&amp;G120)</x:f>
        <x:v>34</x:v>
      </x:c>
      <x:c r="I120" s="128" t="n">
        <x:f>D120/SUMIF($C$4:$C$802,C120,$D$4:$D$802)</x:f>
        <x:v>0.01405959816747418</x:v>
      </x:c>
      <x:c r="J120" s="103" t="n">
        <x:f>(D120/SUMIF($A$4:$A$802,A120,$D$4:$D$802))/(SUMIF($C$4:$C$802,C120,$D$4:$D$802)/SUM($D$4:$D$802))</x:f>
        <x:v>0.8875469704590205</x:v>
      </x:c>
    </x:row>
    <x:row r="121">
      <x:c r="A121" s="101" t="str">
        <x:v>福島県</x:v>
      </x:c>
      <x:c r="B121" s="101" t="str">
        <x:v>Q</x:v>
      </x:c>
      <x:c r="C121" s="101" t="str">
        <x:v>複合サービス事業</x:v>
      </x:c>
      <x:c r="D121" s="102" t="n">
        <x:v>714</x:v>
      </x:c>
      <x:c r="E121" s="102" t="n">
        <x:f>1+COUNTIFS($C$4:$C$802,C121,$D$4:$D$802,"&gt;"&amp;D121)</x:f>
        <x:v>16</x:v>
      </x:c>
      <x:c r="F121" s="102" t="n">
        <x:v>1833152</x:v>
      </x:c>
      <x:c r="G121" s="126" t="n">
        <x:f>D121/F121*100000</x:f>
        <x:v>38.94930698600007</x:v>
      </x:c>
      <x:c r="H121" s="127" t="n">
        <x:f>1+COUNTIFS($C$4:$C$802,C121,$G$4:$G$802,"&gt;"&amp;G121)</x:f>
        <x:v>20</x:v>
      </x:c>
      <x:c r="I121" s="128" t="n">
        <x:f>D121/SUMIF($C$4:$C$802,C121,$D$4:$D$802)</x:f>
        <x:v>0.022221530609069125</x:v>
      </x:c>
      <x:c r="J121" s="103" t="n">
        <x:f>(D121/SUMIF($A$4:$A$802,A121,$D$4:$D$802))/(SUMIF($C$4:$C$802,C121,$D$4:$D$802)/SUM($D$4:$D$802))</x:f>
        <x:v>1.4027891790441467</x:v>
      </x:c>
    </x:row>
    <x:row r="122">
      <x:c r="A122" s="101" t="str">
        <x:v>福島県</x:v>
      </x:c>
      <x:c r="B122" s="101" t="str">
        <x:v>R</x:v>
      </x:c>
      <x:c r="C122" s="101" t="str">
        <x:v>サービス業（他に分類されないもの）</x:v>
      </x:c>
      <x:c r="D122" s="102" t="n">
        <x:v>6216</x:v>
      </x:c>
      <x:c r="E122" s="102" t="n">
        <x:f>1+COUNTIFS($C$4:$C$802,C122,$D$4:$D$802,"&gt;"&amp;D122)</x:f>
        <x:v>19</x:v>
      </x:c>
      <x:c r="F122" s="102" t="n">
        <x:v>1833152</x:v>
      </x:c>
      <x:c r="G122" s="126" t="n">
        <x:f>D122/F122*100000</x:f>
        <x:v>339.0880843487065</x:v>
      </x:c>
      <x:c r="H122" s="127" t="n">
        <x:f>1+COUNTIFS($C$4:$C$802,C122,$G$4:$G$802,"&gt;"&amp;G122)</x:f>
        <x:v>21</x:v>
      </x:c>
      <x:c r="I122" s="128" t="n">
        <x:f>D122/SUMIF($C$4:$C$802,C122,$D$4:$D$802)</x:f>
        <x:v>0.016835855822670987</x:v>
      </x:c>
      <x:c r="J122" s="103" t="n">
        <x:f>(D122/SUMIF($A$4:$A$802,A122,$D$4:$D$802))/(SUMIF($C$4:$C$802,C122,$D$4:$D$802)/SUM($D$4:$D$802))</x:f>
        <x:v>1.0628051138093764</x:v>
      </x:c>
    </x:row>
    <x:row r="123">
      <x:c r="A123" s="101" t="str">
        <x:v>茨城県</x:v>
      </x:c>
      <x:c r="B123" s="101" t="str">
        <x:v>AB</x:v>
      </x:c>
      <x:c r="C123" s="101" t="str">
        <x:v>農林漁業</x:v>
      </x:c>
      <x:c r="D123" s="102" t="n">
        <x:v>1044</x:v>
      </x:c>
      <x:c r="E123" s="102" t="n">
        <x:f>1+COUNTIFS($C$4:$C$802,C123,$D$4:$D$802,"&gt;"&amp;D123)</x:f>
        <x:v>11</x:v>
      </x:c>
      <x:c r="F123" s="102" t="n">
        <x:v>2867009</x:v>
      </x:c>
      <x:c r="G123" s="126" t="n">
        <x:f>D123/F123*100000</x:f>
        <x:v>36.41425611150855</x:v>
      </x:c>
      <x:c r="H123" s="127" t="n">
        <x:f>1+COUNTIFS($C$4:$C$802,C123,$G$4:$G$802,"&gt;"&amp;G123)</x:f>
        <x:v>33</x:v>
      </x:c>
      <x:c r="I123" s="128" t="n">
        <x:f>D123/SUMIF($C$4:$C$802,C123,$D$4:$D$802)</x:f>
        <x:v>0.02458900560553959</x:v>
      </x:c>
      <x:c r="J123" s="103" t="n">
        <x:f>(D123/SUMIF($A$4:$A$802,A123,$D$4:$D$802))/(SUMIF($C$4:$C$802,C123,$D$4:$D$802)/SUM($D$4:$D$802))</x:f>
        <x:v>1.1674044861928443</x:v>
      </x:c>
    </x:row>
    <x:row r="124">
      <x:c r="A124" s="101" t="str">
        <x:v>茨城県</x:v>
      </x:c>
      <x:c r="B124" s="101" t="str">
        <x:v>C</x:v>
      </x:c>
      <x:c r="C124" s="101" t="str">
        <x:v>鉱業，採石業，砂利採取業</x:v>
      </x:c>
      <x:c r="D124" s="102" t="n">
        <x:v>65</x:v>
      </x:c>
      <x:c r="E124" s="102" t="n">
        <x:f>1+COUNTIFS($C$4:$C$802,C124,$D$4:$D$802,"&gt;"&amp;D124)</x:f>
        <x:v>6</x:v>
      </x:c>
      <x:c r="F124" s="102" t="n">
        <x:v>2867009</x:v>
      </x:c>
      <x:c r="G124" s="126" t="n">
        <x:f>D124/F124*100000</x:f>
        <x:v>2.267171118053693</x:v>
      </x:c>
      <x:c r="H124" s="127" t="n">
        <x:f>1+COUNTIFS($C$4:$C$802,C124,$G$4:$G$802,"&gt;"&amp;G124)</x:f>
        <x:v>21</x:v>
      </x:c>
      <x:c r="I124" s="128" t="n">
        <x:f>D124/SUMIF($C$4:$C$802,C124,$D$4:$D$802)</x:f>
        <x:v>0.03485254691689008</x:v>
      </x:c>
      <x:c r="J124" s="103" t="n">
        <x:f>(D124/SUMIF($A$4:$A$802,A124,$D$4:$D$802))/(SUMIF($C$4:$C$802,C124,$D$4:$D$802)/SUM($D$4:$D$802))</x:f>
        <x:v>1.6546834092736877</x:v>
      </x:c>
    </x:row>
    <x:row r="125">
      <x:c r="A125" s="101" t="str">
        <x:v>茨城県</x:v>
      </x:c>
      <x:c r="B125" s="101" t="str">
        <x:v>D</x:v>
      </x:c>
      <x:c r="C125" s="101" t="str">
        <x:v>建設業</x:v>
      </x:c>
      <x:c r="D125" s="102" t="n">
        <x:v>14004</x:v>
      </x:c>
      <x:c r="E125" s="102" t="n">
        <x:f>1+COUNTIFS($C$4:$C$802,C125,$D$4:$D$802,"&gt;"&amp;D125)</x:f>
        <x:v>11</x:v>
      </x:c>
      <x:c r="F125" s="102" t="n">
        <x:v>2867009</x:v>
      </x:c>
      <x:c r="G125" s="126" t="n">
        <x:f>D125/F125*100000</x:f>
        <x:v>488.45329749575257</x:v>
      </x:c>
      <x:c r="H125" s="127" t="n">
        <x:f>1+COUNTIFS($C$4:$C$802,C125,$G$4:$G$802,"&gt;"&amp;G125)</x:f>
        <x:v>12</x:v>
      </x:c>
      <x:c r="I125" s="128" t="n">
        <x:f>D125/SUMIF($C$4:$C$802,C125,$D$4:$D$802)</x:f>
        <x:v>0.028866191884733116</x:v>
      </x:c>
      <x:c r="J125" s="103" t="n">
        <x:f>(D125/SUMIF($A$4:$A$802,A125,$D$4:$D$802))/(SUMIF($C$4:$C$802,C125,$D$4:$D$802)/SUM($D$4:$D$802))</x:f>
        <x:v>1.3704711140473718</x:v>
      </x:c>
    </x:row>
    <x:row r="126">
      <x:c r="A126" s="101" t="str">
        <x:v>茨城県</x:v>
      </x:c>
      <x:c r="B126" s="101" t="str">
        <x:v>E</x:v>
      </x:c>
      <x:c r="C126" s="101" t="str">
        <x:v>製造業</x:v>
      </x:c>
      <x:c r="D126" s="102" t="n">
        <x:v>9826</x:v>
      </x:c>
      <x:c r="E126" s="102" t="n">
        <x:f>1+COUNTIFS($C$4:$C$802,C126,$D$4:$D$802,"&gt;"&amp;D126)</x:f>
        <x:v>14</x:v>
      </x:c>
      <x:c r="F126" s="102" t="n">
        <x:v>2867009</x:v>
      </x:c>
      <x:c r="G126" s="126" t="n">
        <x:f>D126/F126*100000</x:f>
        <x:v>342.7265139383936</x:v>
      </x:c>
      <x:c r="H126" s="127" t="n">
        <x:f>1+COUNTIFS($C$4:$C$802,C126,$G$4:$G$802,"&gt;"&amp;G126)</x:f>
        <x:v>20</x:v>
      </x:c>
      <x:c r="I126" s="128" t="n">
        <x:f>D126/SUMIF($C$4:$C$802,C126,$D$4:$D$802)</x:f>
        <x:v>0.023813851586337937</x:v>
      </x:c>
      <x:c r="J126" s="103" t="n">
        <x:f>(D126/SUMIF($A$4:$A$802,A126,$D$4:$D$802))/(SUMIF($C$4:$C$802,C126,$D$4:$D$802)/SUM($D$4:$D$802))</x:f>
        <x:v>1.1306027425996605</x:v>
      </x:c>
    </x:row>
    <x:row r="127">
      <x:c r="A127" s="101" t="str">
        <x:v>茨城県</x:v>
      </x:c>
      <x:c r="B127" s="101" t="str">
        <x:v>F</x:v>
      </x:c>
      <x:c r="C127" s="101" t="str">
        <x:v>電気・ガス・熱供給・水道業</x:v>
      </x:c>
      <x:c r="D127" s="102" t="n">
        <x:v>286</x:v>
      </x:c>
      <x:c r="E127" s="102" t="n">
        <x:f>1+COUNTIFS($C$4:$C$802,C127,$D$4:$D$802,"&gt;"&amp;D127)</x:f>
        <x:v>9</x:v>
      </x:c>
      <x:c r="F127" s="102" t="n">
        <x:v>2867009</x:v>
      </x:c>
      <x:c r="G127" s="126" t="n">
        <x:f>D127/F127*100000</x:f>
        <x:v>9.975552919436248</x:v>
      </x:c>
      <x:c r="H127" s="127" t="n">
        <x:f>1+COUNTIFS($C$4:$C$802,C127,$G$4:$G$802,"&gt;"&amp;G127)</x:f>
        <x:v>18</x:v>
      </x:c>
      <x:c r="I127" s="128" t="n">
        <x:f>D127/SUMIF($C$4:$C$802,C127,$D$4:$D$802)</x:f>
        <x:v>0.031294452347083924</x:v>
      </x:c>
      <x:c r="J127" s="103" t="n">
        <x:f>(D127/SUMIF($A$4:$A$802,A127,$D$4:$D$802))/(SUMIF($C$4:$C$802,C127,$D$4:$D$802)/SUM($D$4:$D$802))</x:f>
        <x:v>1.4857568723602015</x:v>
      </x:c>
    </x:row>
    <x:row r="128">
      <x:c r="A128" s="101" t="str">
        <x:v>茨城県</x:v>
      </x:c>
      <x:c r="B128" s="101" t="str">
        <x:v>G</x:v>
      </x:c>
      <x:c r="C128" s="101" t="str">
        <x:v>情報通信業</x:v>
      </x:c>
      <x:c r="D128" s="102" t="n">
        <x:v>846</x:v>
      </x:c>
      <x:c r="E128" s="102" t="n">
        <x:f>1+COUNTIFS($C$4:$C$802,C128,$D$4:$D$802,"&gt;"&amp;D128)</x:f>
        <x:v>15</x:v>
      </x:c>
      <x:c r="F128" s="102" t="n">
        <x:v>2867009</x:v>
      </x:c>
      <x:c r="G128" s="126" t="n">
        <x:f>D128/F128*100000</x:f>
        <x:v>29.508104090360373</x:v>
      </x:c>
      <x:c r="H128" s="127" t="n">
        <x:f>1+COUNTIFS($C$4:$C$802,C128,$G$4:$G$802,"&gt;"&amp;G128)</x:f>
        <x:v>39</x:v>
      </x:c>
      <x:c r="I128" s="128" t="n">
        <x:f>D128/SUMIF($C$4:$C$802,C128,$D$4:$D$802)</x:f>
        <x:v>0.011050301074987917</x:v>
      </x:c>
      <x:c r="J128" s="103" t="n">
        <x:f>(D128/SUMIF($A$4:$A$802,A128,$D$4:$D$802))/(SUMIF($C$4:$C$802,C128,$D$4:$D$802)/SUM($D$4:$D$802))</x:f>
        <x:v>0.5246316689527396</x:v>
      </x:c>
    </x:row>
    <x:row r="129">
      <x:c r="A129" s="101" t="str">
        <x:v>茨城県</x:v>
      </x:c>
      <x:c r="B129" s="101" t="str">
        <x:v>H</x:v>
      </x:c>
      <x:c r="C129" s="101" t="str">
        <x:v>運輸業，郵便業</x:v>
      </x:c>
      <x:c r="D129" s="102" t="n">
        <x:v>3529</x:v>
      </x:c>
      <x:c r="E129" s="102" t="n">
        <x:f>1+COUNTIFS($C$4:$C$802,C129,$D$4:$D$802,"&gt;"&amp;D129)</x:f>
        <x:v>11</x:v>
      </x:c>
      <x:c r="F129" s="102" t="n">
        <x:v>2867009</x:v>
      </x:c>
      <x:c r="G129" s="126" t="n">
        <x:f>D129/F129*100000</x:f>
        <x:v>123.08995193248435</x:v>
      </x:c>
      <x:c r="H129" s="127" t="n">
        <x:f>1+COUNTIFS($C$4:$C$802,C129,$G$4:$G$802,"&gt;"&amp;G129)</x:f>
        <x:v>4</x:v>
      </x:c>
      <x:c r="I129" s="128" t="n">
        <x:f>D129/SUMIF($C$4:$C$802,C129,$D$4:$D$802)</x:f>
        <x:v>0.027522148739705515</x:v>
      </x:c>
      <x:c r="J129" s="103" t="n">
        <x:f>(D129/SUMIF($A$4:$A$802,A129,$D$4:$D$802))/(SUMIF($C$4:$C$802,C129,$D$4:$D$802)/SUM($D$4:$D$802))</x:f>
        <x:v>1.306660400336018</x:v>
      </x:c>
    </x:row>
    <x:row r="130">
      <x:c r="A130" s="101" t="str">
        <x:v>茨城県</x:v>
      </x:c>
      <x:c r="B130" s="101" t="str">
        <x:v>I</x:v>
      </x:c>
      <x:c r="C130" s="101" t="str">
        <x:v>卸売業，小売業</x:v>
      </x:c>
      <x:c r="D130" s="102" t="n">
        <x:v>26387</x:v>
      </x:c>
      <x:c r="E130" s="102" t="n">
        <x:f>1+COUNTIFS($C$4:$C$802,C130,$D$4:$D$802,"&gt;"&amp;D130)</x:f>
        <x:v>12</x:v>
      </x:c>
      <x:c r="F130" s="102" t="n">
        <x:v>2867009</x:v>
      </x:c>
      <x:c r="G130" s="126" t="n">
        <x:f>D130/F130*100000</x:f>
        <x:v>920.3668352628123</x:v>
      </x:c>
      <x:c r="H130" s="127" t="n">
        <x:f>1+COUNTIFS($C$4:$C$802,C130,$G$4:$G$802,"&gt;"&amp;G130)</x:f>
        <x:v>41</x:v>
      </x:c>
      <x:c r="I130" s="128" t="n">
        <x:f>D130/SUMIF($C$4:$C$802,C130,$D$4:$D$802)</x:f>
        <x:v>0.021471698727337826</x:v>
      </x:c>
      <x:c r="J130" s="103" t="n">
        <x:f>(D130/SUMIF($A$4:$A$802,A130,$D$4:$D$802))/(SUMIF($C$4:$C$802,C130,$D$4:$D$802)/SUM($D$4:$D$802))</x:f>
        <x:v>1.0194050878913246</x:v>
      </x:c>
    </x:row>
    <x:row r="131">
      <x:c r="A131" s="101" t="str">
        <x:v>茨城県</x:v>
      </x:c>
      <x:c r="B131" s="101" t="str">
        <x:v>J</x:v>
      </x:c>
      <x:c r="C131" s="101" t="str">
        <x:v>金融業，保険業</x:v>
      </x:c>
      <x:c r="D131" s="102" t="n">
        <x:v>1524</x:v>
      </x:c>
      <x:c r="E131" s="102" t="n">
        <x:f>1+COUNTIFS($C$4:$C$802,C131,$D$4:$D$802,"&gt;"&amp;D131)</x:f>
        <x:v>15</x:v>
      </x:c>
      <x:c r="F131" s="102" t="n">
        <x:v>2867009</x:v>
      </x:c>
      <x:c r="G131" s="126" t="n">
        <x:f>D131/F131*100000</x:f>
        <x:v>53.156442829443506</x:v>
      </x:c>
      <x:c r="H131" s="127" t="n">
        <x:f>1+COUNTIFS($C$4:$C$802,C131,$G$4:$G$802,"&gt;"&amp;G131)</x:f>
        <x:v>44</x:v>
      </x:c>
      <x:c r="I131" s="128" t="n">
        <x:f>D131/SUMIF($C$4:$C$802,C131,$D$4:$D$802)</x:f>
        <x:v>0.018174879549682773</x:v>
      </x:c>
      <x:c r="J131" s="103" t="n">
        <x:f>(D131/SUMIF($A$4:$A$802,A131,$D$4:$D$802))/(SUMIF($C$4:$C$802,C131,$D$4:$D$802)/SUM($D$4:$D$802))</x:f>
        <x:v>0.8628830406030831</x:v>
      </x:c>
    </x:row>
    <x:row r="132">
      <x:c r="A132" s="101" t="str">
        <x:v>茨城県</x:v>
      </x:c>
      <x:c r="B132" s="101" t="str">
        <x:v>K</x:v>
      </x:c>
      <x:c r="C132" s="101" t="str">
        <x:v>不動産業，物品賃貸業</x:v>
      </x:c>
      <x:c r="D132" s="102" t="n">
        <x:v>5782</x:v>
      </x:c>
      <x:c r="E132" s="102" t="n">
        <x:f>1+COUNTIFS($C$4:$C$802,C132,$D$4:$D$802,"&gt;"&amp;D132)</x:f>
        <x:v>16</x:v>
      </x:c>
      <x:c r="F132" s="102" t="n">
        <x:v>2867009</x:v>
      </x:c>
      <x:c r="G132" s="126" t="n">
        <x:f>D132/F132*100000</x:f>
        <x:v>201.6735908397916</x:v>
      </x:c>
      <x:c r="H132" s="127" t="n">
        <x:f>1+COUNTIFS($C$4:$C$802,C132,$G$4:$G$802,"&gt;"&amp;G132)</x:f>
        <x:v>42</x:v>
      </x:c>
      <x:c r="I132" s="128" t="n">
        <x:f>D132/SUMIF($C$4:$C$802,C132,$D$4:$D$802)</x:f>
        <x:v>0.015441066507146366</x:v>
      </x:c>
      <x:c r="J132" s="103" t="n">
        <x:f>(D132/SUMIF($A$4:$A$802,A132,$D$4:$D$802))/(SUMIF($C$4:$C$802,C132,$D$4:$D$802)/SUM($D$4:$D$802))</x:f>
        <x:v>0.7330906585333292</x:v>
      </x:c>
    </x:row>
    <x:row r="133">
      <x:c r="A133" s="101" t="str">
        <x:v>茨城県</x:v>
      </x:c>
      <x:c r="B133" s="101" t="str">
        <x:v>L</x:v>
      </x:c>
      <x:c r="C133" s="101" t="str">
        <x:v>学術研究，専門・技術サービス業</x:v>
      </x:c>
      <x:c r="D133" s="102" t="n">
        <x:v>4368</x:v>
      </x:c>
      <x:c r="E133" s="102" t="n">
        <x:f>1+COUNTIFS($C$4:$C$802,C133,$D$4:$D$802,"&gt;"&amp;D133)</x:f>
        <x:v>14</x:v>
      </x:c>
      <x:c r="F133" s="102" t="n">
        <x:v>2867009</x:v>
      </x:c>
      <x:c r="G133" s="126" t="n">
        <x:f>D133/F133*100000</x:f>
        <x:v>152.35389913320816</x:v>
      </x:c>
      <x:c r="H133" s="127" t="n">
        <x:f>1+COUNTIFS($C$4:$C$802,C133,$G$4:$G$802,"&gt;"&amp;G133)</x:f>
        <x:v>43</x:v>
      </x:c>
      <x:c r="I133" s="128" t="n">
        <x:f>D133/SUMIF($C$4:$C$802,C133,$D$4:$D$802)</x:f>
        <x:v>0.01730997860030118</x:v>
      </x:c>
      <x:c r="J133" s="103" t="n">
        <x:f>(D133/SUMIF($A$4:$A$802,A133,$D$4:$D$802))/(SUMIF($C$4:$C$802,C133,$D$4:$D$802)/SUM($D$4:$D$802))</x:f>
        <x:v>0.8218204102300576</x:v>
      </x:c>
    </x:row>
    <x:row r="134">
      <x:c r="A134" s="101" t="str">
        <x:v>茨城県</x:v>
      </x:c>
      <x:c r="B134" s="101" t="str">
        <x:v>M</x:v>
      </x:c>
      <x:c r="C134" s="101" t="str">
        <x:v>宿泊業，飲食サービス業</x:v>
      </x:c>
      <x:c r="D134" s="102" t="n">
        <x:v>11100</x:v>
      </x:c>
      <x:c r="E134" s="102" t="n">
        <x:f>1+COUNTIFS($C$4:$C$802,C134,$D$4:$D$802,"&gt;"&amp;D134)</x:f>
        <x:v>15</x:v>
      </x:c>
      <x:c r="F134" s="102" t="n">
        <x:v>2867009</x:v>
      </x:c>
      <x:c r="G134" s="126" t="n">
        <x:f>D134/F134*100000</x:f>
        <x:v>387.163067852246</x:v>
      </x:c>
      <x:c r="H134" s="127" t="n">
        <x:f>1+COUNTIFS($C$4:$C$802,C134,$G$4:$G$802,"&gt;"&amp;G134)</x:f>
        <x:v>42</x:v>
      </x:c>
      <x:c r="I134" s="128" t="n">
        <x:f>D134/SUMIF($C$4:$C$802,C134,$D$4:$D$802)</x:f>
        <x:v>0.0185290906723556</x:v>
      </x:c>
      <x:c r="J134" s="103" t="n">
        <x:f>(D134/SUMIF($A$4:$A$802,A134,$D$4:$D$802))/(SUMIF($C$4:$C$802,C134,$D$4:$D$802)/SUM($D$4:$D$802))</x:f>
        <x:v>0.8796998106791571</x:v>
      </x:c>
    </x:row>
    <x:row r="135">
      <x:c r="A135" s="101" t="str">
        <x:v>茨城県</x:v>
      </x:c>
      <x:c r="B135" s="101" t="str">
        <x:v>N</x:v>
      </x:c>
      <x:c r="C135" s="101" t="str">
        <x:v>生活関連サービス業，娯楽業</x:v>
      </x:c>
      <x:c r="D135" s="102" t="n">
        <x:v>10426</x:v>
      </x:c>
      <x:c r="E135" s="102" t="n">
        <x:f>1+COUNTIFS($C$4:$C$802,C135,$D$4:$D$802,"&gt;"&amp;D135)</x:f>
        <x:v>11</x:v>
      </x:c>
      <x:c r="F135" s="102" t="n">
        <x:v>2867009</x:v>
      </x:c>
      <x:c r="G135" s="126" t="n">
        <x:f>D135/F135*100000</x:f>
        <x:v>363.65424733581233</x:v>
      </x:c>
      <x:c r="H135" s="127" t="n">
        <x:f>1+COUNTIFS($C$4:$C$802,C135,$G$4:$G$802,"&gt;"&amp;G135)</x:f>
        <x:v>32</x:v>
      </x:c>
      <x:c r="I135" s="128" t="n">
        <x:f>D135/SUMIF($C$4:$C$802,C135,$D$4:$D$802)</x:f>
        <x:v>0.02401147834337842</x:v>
      </x:c>
      <x:c r="J135" s="103" t="n">
        <x:f>(D135/SUMIF($A$4:$A$802,A135,$D$4:$D$802))/(SUMIF($C$4:$C$802,C135,$D$4:$D$802)/SUM($D$4:$D$802))</x:f>
        <x:v>1.139985405992475</x:v>
      </x:c>
    </x:row>
    <x:row r="136">
      <x:c r="A136" s="101" t="str">
        <x:v>茨城県</x:v>
      </x:c>
      <x:c r="B136" s="101" t="str">
        <x:v>O</x:v>
      </x:c>
      <x:c r="C136" s="101" t="str">
        <x:v>教育，学習支援業</x:v>
      </x:c>
      <x:c r="D136" s="102" t="n">
        <x:v>3085</x:v>
      </x:c>
      <x:c r="E136" s="102" t="n">
        <x:f>1+COUNTIFS($C$4:$C$802,C136,$D$4:$D$802,"&gt;"&amp;D136)</x:f>
        <x:v>13</x:v>
      </x:c>
      <x:c r="F136" s="102" t="n">
        <x:v>2867009</x:v>
      </x:c>
      <x:c r="G136" s="126" t="n">
        <x:f>D136/F136*100000</x:f>
        <x:v>107.6034292183945</x:v>
      </x:c>
      <x:c r="H136" s="127" t="n">
        <x:f>1+COUNTIFS($C$4:$C$802,C136,$G$4:$G$802,"&gt;"&amp;G136)</x:f>
        <x:v>45</x:v>
      </x:c>
      <x:c r="I136" s="128" t="n">
        <x:f>D136/SUMIF($C$4:$C$802,C136,$D$4:$D$802)</x:f>
        <x:v>0.018885018701371842</x:v>
      </x:c>
      <x:c r="J136" s="103" t="n">
        <x:f>(D136/SUMIF($A$4:$A$802,A136,$D$4:$D$802))/(SUMIF($C$4:$C$802,C136,$D$4:$D$802)/SUM($D$4:$D$802))</x:f>
        <x:v>0.8965980937777518</x:v>
      </x:c>
    </x:row>
    <x:row r="137">
      <x:c r="A137" s="101" t="str">
        <x:v>茨城県</x:v>
      </x:c>
      <x:c r="B137" s="101" t="str">
        <x:v>P</x:v>
      </x:c>
      <x:c r="C137" s="101" t="str">
        <x:v>医療，福祉</x:v>
      </x:c>
      <x:c r="D137" s="102" t="n">
        <x:v>8121</x:v>
      </x:c>
      <x:c r="E137" s="102" t="n">
        <x:f>1+COUNTIFS($C$4:$C$802,C137,$D$4:$D$802,"&gt;"&amp;D137)</x:f>
        <x:v>13</x:v>
      </x:c>
      <x:c r="F137" s="102" t="n">
        <x:v>2867009</x:v>
      </x:c>
      <x:c r="G137" s="126" t="n">
        <x:f>D137/F137*100000</x:f>
        <x:v>283.25687153406216</x:v>
      </x:c>
      <x:c r="H137" s="127" t="n">
        <x:f>1+COUNTIFS($C$4:$C$802,C137,$G$4:$G$802,"&gt;"&amp;G137)</x:f>
        <x:v>47</x:v>
      </x:c>
      <x:c r="I137" s="128" t="n">
        <x:f>D137/SUMIF($C$4:$C$802,C137,$D$4:$D$802)</x:f>
        <x:v>0.01755774207566628</x:v>
      </x:c>
      <x:c r="J137" s="103" t="n">
        <x:f>(D137/SUMIF($A$4:$A$802,A137,$D$4:$D$802))/(SUMIF($C$4:$C$802,C137,$D$4:$D$802)/SUM($D$4:$D$802))</x:f>
        <x:v>0.8335833988313853</x:v>
      </x:c>
    </x:row>
    <x:row r="138">
      <x:c r="A138" s="101" t="str">
        <x:v>茨城県</x:v>
      </x:c>
      <x:c r="B138" s="101" t="str">
        <x:v>Q</x:v>
      </x:c>
      <x:c r="C138" s="101" t="str">
        <x:v>複合サービス事業</x:v>
      </x:c>
      <x:c r="D138" s="102" t="n">
        <x:v>647</x:v>
      </x:c>
      <x:c r="E138" s="102" t="n">
        <x:f>1+COUNTIFS($C$4:$C$802,C138,$D$4:$D$802,"&gt;"&amp;D138)</x:f>
        <x:v>19</x:v>
      </x:c>
      <x:c r="F138" s="102" t="n">
        <x:v>2867009</x:v>
      </x:c>
      <x:c r="G138" s="126" t="n">
        <x:f>D138/F138*100000</x:f>
        <x:v>22.567072513549835</x:v>
      </x:c>
      <x:c r="H138" s="127" t="n">
        <x:f>1+COUNTIFS($C$4:$C$802,C138,$G$4:$G$802,"&gt;"&amp;G138)</x:f>
        <x:v>38</x:v>
      </x:c>
      <x:c r="I138" s="128" t="n">
        <x:f>D138/SUMIF($C$4:$C$802,C138,$D$4:$D$802)</x:f>
        <x:v>0.0201363169524758</x:v>
      </x:c>
      <x:c r="J138" s="103" t="n">
        <x:f>(D138/SUMIF($A$4:$A$802,A138,$D$4:$D$802))/(SUMIF($C$4:$C$802,C138,$D$4:$D$802)/SUM($D$4:$D$802))</x:f>
        <x:v>0.9560055873274271</x:v>
      </x:c>
    </x:row>
    <x:row r="139">
      <x:c r="A139" s="101" t="str">
        <x:v>茨城県</x:v>
      </x:c>
      <x:c r="B139" s="101" t="str">
        <x:v>R</x:v>
      </x:c>
      <x:c r="C139" s="101" t="str">
        <x:v>サービス業（他に分類されないもの）</x:v>
      </x:c>
      <x:c r="D139" s="102" t="n">
        <x:v>7562</x:v>
      </x:c>
      <x:c r="E139" s="102" t="n">
        <x:f>1+COUNTIFS($C$4:$C$802,C139,$D$4:$D$802,"&gt;"&amp;D139)</x:f>
        <x:v>14</x:v>
      </x:c>
      <x:c r="F139" s="102" t="n">
        <x:v>2867009</x:v>
      </x:c>
      <x:c r="G139" s="126" t="n">
        <x:f>D139/F139*100000</x:f>
        <x:v>263.7591999188004</x:v>
      </x:c>
      <x:c r="H139" s="127" t="n">
        <x:f>1+COUNTIFS($C$4:$C$802,C139,$G$4:$G$802,"&gt;"&amp;G139)</x:f>
        <x:v>43</x:v>
      </x:c>
      <x:c r="I139" s="128" t="n">
        <x:f>D139/SUMIF($C$4:$C$802,C139,$D$4:$D$802)</x:f>
        <x:v>0.020481457807438545</x:v>
      </x:c>
      <x:c r="J139" s="103" t="n">
        <x:f>(D139/SUMIF($A$4:$A$802,A139,$D$4:$D$802))/(SUMIF($C$4:$C$802,C139,$D$4:$D$802)/SUM($D$4:$D$802))</x:f>
        <x:v>0.972391731155918</x:v>
      </x:c>
    </x:row>
    <x:row r="140">
      <x:c r="A140" s="101" t="str">
        <x:v>栃木県</x:v>
      </x:c>
      <x:c r="B140" s="101" t="str">
        <x:v>AB</x:v>
      </x:c>
      <x:c r="C140" s="101" t="str">
        <x:v>農林漁業</x:v>
      </x:c>
      <x:c r="D140" s="102" t="n">
        <x:v>785</x:v>
      </x:c>
      <x:c r="E140" s="102" t="n">
        <x:f>1+COUNTIFS($C$4:$C$802,C140,$D$4:$D$802,"&gt;"&amp;D140)</x:f>
        <x:v>24</x:v>
      </x:c>
      <x:c r="F140" s="102" t="n">
        <x:v>1933146</x:v>
      </x:c>
      <x:c r="G140" s="126" t="n">
        <x:f>D140/F140*100000</x:f>
        <x:v>40.607382991248464</x:v>
      </x:c>
      <x:c r="H140" s="127" t="n">
        <x:f>1+COUNTIFS($C$4:$C$802,C140,$G$4:$G$802,"&gt;"&amp;G140)</x:f>
        <x:v>32</x:v>
      </x:c>
      <x:c r="I140" s="128" t="n">
        <x:f>D140/SUMIF($C$4:$C$802,C140,$D$4:$D$802)</x:f>
        <x:v>0.01848885957887795</x:v>
      </x:c>
      <x:c r="J140" s="103" t="n">
        <x:f>(D140/SUMIF($A$4:$A$802,A140,$D$4:$D$802))/(SUMIF($C$4:$C$802,C140,$D$4:$D$802)/SUM($D$4:$D$802))</x:f>
        <x:v>1.1906987682901775</x:v>
      </x:c>
    </x:row>
    <x:row r="141">
      <x:c r="A141" s="101" t="str">
        <x:v>栃木県</x:v>
      </x:c>
      <x:c r="B141" s="101" t="str">
        <x:v>C</x:v>
      </x:c>
      <x:c r="C141" s="101" t="str">
        <x:v>鉱業，採石業，砂利採取業</x:v>
      </x:c>
      <x:c r="D141" s="102" t="n">
        <x:v>50</x:v>
      </x:c>
      <x:c r="E141" s="102" t="n">
        <x:f>1+COUNTIFS($C$4:$C$802,C141,$D$4:$D$802,"&gt;"&amp;D141)</x:f>
        <x:v>14</x:v>
      </x:c>
      <x:c r="F141" s="102" t="n">
        <x:v>1933146</x:v>
      </x:c>
      <x:c r="G141" s="126" t="n">
        <x:f>D141/F141*100000</x:f>
        <x:v>2.586457515366144</x:v>
      </x:c>
      <x:c r="H141" s="127" t="n">
        <x:f>1+COUNTIFS($C$4:$C$802,C141,$G$4:$G$802,"&gt;"&amp;G141)</x:f>
        <x:v>16</x:v>
      </x:c>
      <x:c r="I141" s="128" t="n">
        <x:f>D141/SUMIF($C$4:$C$802,C141,$D$4:$D$802)</x:f>
        <x:v>0.02680965147453083</x:v>
      </x:c>
      <x:c r="J141" s="103" t="n">
        <x:f>(D141/SUMIF($A$4:$A$802,A141,$D$4:$D$802))/(SUMIF($C$4:$C$802,C141,$D$4:$D$802)/SUM($D$4:$D$802))</x:f>
        <x:v>1.7265650622108348</x:v>
      </x:c>
    </x:row>
    <x:row r="142">
      <x:c r="A142" s="101" t="str">
        <x:v>栃木県</x:v>
      </x:c>
      <x:c r="B142" s="101" t="str">
        <x:v>D</x:v>
      </x:c>
      <x:c r="C142" s="101" t="str">
        <x:v>建設業</x:v>
      </x:c>
      <x:c r="D142" s="102" t="n">
        <x:v>8776</x:v>
      </x:c>
      <x:c r="E142" s="102" t="n">
        <x:f>1+COUNTIFS($C$4:$C$802,C142,$D$4:$D$802,"&gt;"&amp;D142)</x:f>
        <x:v>19</x:v>
      </x:c>
      <x:c r="F142" s="102" t="n">
        <x:v>1933146</x:v>
      </x:c>
      <x:c r="G142" s="126" t="n">
        <x:f>D142/F142*100000</x:f>
        <x:v>453.9750230970656</x:v>
      </x:c>
      <x:c r="H142" s="127" t="n">
        <x:f>1+COUNTIFS($C$4:$C$802,C142,$G$4:$G$802,"&gt;"&amp;G142)</x:f>
        <x:v>18</x:v>
      </x:c>
      <x:c r="I142" s="128" t="n">
        <x:f>D142/SUMIF($C$4:$C$802,C142,$D$4:$D$802)</x:f>
        <x:v>0.018089810052871882</x:v>
      </x:c>
      <x:c r="J142" s="103" t="n">
        <x:f>(D142/SUMIF($A$4:$A$802,A142,$D$4:$D$802))/(SUMIF($C$4:$C$802,C142,$D$4:$D$802)/SUM($D$4:$D$802))</x:f>
        <x:v>1.164999628920596</x:v>
      </x:c>
    </x:row>
    <x:row r="143">
      <x:c r="A143" s="101" t="str">
        <x:v>栃木県</x:v>
      </x:c>
      <x:c r="B143" s="101" t="str">
        <x:v>E</x:v>
      </x:c>
      <x:c r="C143" s="101" t="str">
        <x:v>製造業</x:v>
      </x:c>
      <x:c r="D143" s="102" t="n">
        <x:v>8064</x:v>
      </x:c>
      <x:c r="E143" s="102" t="n">
        <x:f>1+COUNTIFS($C$4:$C$802,C143,$D$4:$D$802,"&gt;"&amp;D143)</x:f>
        <x:v>18</x:v>
      </x:c>
      <x:c r="F143" s="102" t="n">
        <x:v>1933146</x:v>
      </x:c>
      <x:c r="G143" s="126" t="n">
        <x:f>D143/F143*100000</x:f>
        <x:v>417.1438680782518</x:v>
      </x:c>
      <x:c r="H143" s="127" t="n">
        <x:f>1+COUNTIFS($C$4:$C$802,C143,$G$4:$G$802,"&gt;"&amp;G143)</x:f>
        <x:v>14</x:v>
      </x:c>
      <x:c r="I143" s="128" t="n">
        <x:f>D143/SUMIF($C$4:$C$802,C143,$D$4:$D$802)</x:f>
        <x:v>0.01954354764830339</x:v>
      </x:c>
      <x:c r="J143" s="103" t="n">
        <x:f>(D143/SUMIF($A$4:$A$802,A143,$D$4:$D$802))/(SUMIF($C$4:$C$802,C143,$D$4:$D$802)/SUM($D$4:$D$802))</x:f>
        <x:v>1.2586216047332581</x:v>
      </x:c>
    </x:row>
    <x:row r="144">
      <x:c r="A144" s="101" t="str">
        <x:v>栃木県</x:v>
      </x:c>
      <x:c r="B144" s="101" t="str">
        <x:v>F</x:v>
      </x:c>
      <x:c r="C144" s="101" t="str">
        <x:v>電気・ガス・熱供給・水道業</x:v>
      </x:c>
      <x:c r="D144" s="102" t="n">
        <x:v>213</x:v>
      </x:c>
      <x:c r="E144" s="102" t="n">
        <x:f>1+COUNTIFS($C$4:$C$802,C144,$D$4:$D$802,"&gt;"&amp;D144)</x:f>
        <x:v>16</x:v>
      </x:c>
      <x:c r="F144" s="102" t="n">
        <x:v>1933146</x:v>
      </x:c>
      <x:c r="G144" s="126" t="n">
        <x:f>D144/F144*100000</x:f>
        <x:v>11.018309015459774</x:v>
      </x:c>
      <x:c r="H144" s="127" t="n">
        <x:f>1+COUNTIFS($C$4:$C$802,C144,$G$4:$G$802,"&gt;"&amp;G144)</x:f>
        <x:v>13</x:v>
      </x:c>
      <x:c r="I144" s="128" t="n">
        <x:f>D144/SUMIF($C$4:$C$802,C144,$D$4:$D$802)</x:f>
        <x:v>0.02330670751723383</x:v>
      </x:c>
      <x:c r="J144" s="103" t="n">
        <x:f>(D144/SUMIF($A$4:$A$802,A144,$D$4:$D$802))/(SUMIF($C$4:$C$802,C144,$D$4:$D$802)/SUM($D$4:$D$802))</x:f>
        <x:v>1.5009723999079616</x:v>
      </x:c>
    </x:row>
    <x:row r="145">
      <x:c r="A145" s="101" t="str">
        <x:v>栃木県</x:v>
      </x:c>
      <x:c r="B145" s="101" t="str">
        <x:v>G</x:v>
      </x:c>
      <x:c r="C145" s="101" t="str">
        <x:v>情報通信業</x:v>
      </x:c>
      <x:c r="D145" s="102" t="n">
        <x:v>519</x:v>
      </x:c>
      <x:c r="E145" s="102" t="n">
        <x:f>1+COUNTIFS($C$4:$C$802,C145,$D$4:$D$802,"&gt;"&amp;D145)</x:f>
        <x:v>24</x:v>
      </x:c>
      <x:c r="F145" s="102" t="n">
        <x:v>1933146</x:v>
      </x:c>
      <x:c r="G145" s="126" t="n">
        <x:f>D145/F145*100000</x:f>
        <x:v>26.847429009500573</x:v>
      </x:c>
      <x:c r="H145" s="127" t="n">
        <x:f>1+COUNTIFS($C$4:$C$802,C145,$G$4:$G$802,"&gt;"&amp;G145)</x:f>
        <x:v>45</x:v>
      </x:c>
      <x:c r="I145" s="128" t="n">
        <x:f>D145/SUMIF($C$4:$C$802,C145,$D$4:$D$802)</x:f>
        <x:v>0.006779085411251453</x:v>
      </x:c>
      <x:c r="J145" s="103" t="n">
        <x:f>(D145/SUMIF($A$4:$A$802,A145,$D$4:$D$802))/(SUMIF($C$4:$C$802,C145,$D$4:$D$802)/SUM($D$4:$D$802))</x:f>
        <x:v>0.4365790445254103</x:v>
      </x:c>
    </x:row>
    <x:row r="146">
      <x:c r="A146" s="101" t="str">
        <x:v>栃木県</x:v>
      </x:c>
      <x:c r="B146" s="101" t="str">
        <x:v>H</x:v>
      </x:c>
      <x:c r="C146" s="101" t="str">
        <x:v>運輸業，郵便業</x:v>
      </x:c>
      <x:c r="D146" s="102" t="n">
        <x:v>2110</x:v>
      </x:c>
      <x:c r="E146" s="102" t="n">
        <x:f>1+COUNTIFS($C$4:$C$802,C146,$D$4:$D$802,"&gt;"&amp;D146)</x:f>
        <x:v>17</x:v>
      </x:c>
      <x:c r="F146" s="102" t="n">
        <x:v>1933146</x:v>
      </x:c>
      <x:c r="G146" s="126" t="n">
        <x:f>D146/F146*100000</x:f>
        <x:v>109.14850714845129</x:v>
      </x:c>
      <x:c r="H146" s="127" t="n">
        <x:f>1+COUNTIFS($C$4:$C$802,C146,$G$4:$G$802,"&gt;"&amp;G146)</x:f>
        <x:v>17</x:v>
      </x:c>
      <x:c r="I146" s="128" t="n">
        <x:f>D146/SUMIF($C$4:$C$802,C146,$D$4:$D$802)</x:f>
        <x:v>0.016455577738956825</x:v>
      </x:c>
      <x:c r="J146" s="103" t="n">
        <x:f>(D146/SUMIF($A$4:$A$802,A146,$D$4:$D$802))/(SUMIF($C$4:$C$802,C146,$D$4:$D$802)/SUM($D$4:$D$802))</x:f>
        <x:v>1.0597536349761303</x:v>
      </x:c>
    </x:row>
    <x:row r="147">
      <x:c r="A147" s="101" t="str">
        <x:v>栃木県</x:v>
      </x:c>
      <x:c r="B147" s="101" t="str">
        <x:v>I</x:v>
      </x:c>
      <x:c r="C147" s="101" t="str">
        <x:v>卸売業，小売業</x:v>
      </x:c>
      <x:c r="D147" s="102" t="n">
        <x:v>19572</x:v>
      </x:c>
      <x:c r="E147" s="102" t="n">
        <x:f>1+COUNTIFS($C$4:$C$802,C147,$D$4:$D$802,"&gt;"&amp;D147)</x:f>
        <x:v>20</x:v>
      </x:c>
      <x:c r="F147" s="102" t="n">
        <x:v>1933146</x:v>
      </x:c>
      <x:c r="G147" s="126" t="n">
        <x:f>D147/F147*100000</x:f>
        <x:v>1012.4429298149236</x:v>
      </x:c>
      <x:c r="H147" s="127" t="n">
        <x:f>1+COUNTIFS($C$4:$C$802,C147,$G$4:$G$802,"&gt;"&amp;G147)</x:f>
        <x:v>35</x:v>
      </x:c>
      <x:c r="I147" s="128" t="n">
        <x:f>D147/SUMIF($C$4:$C$802,C147,$D$4:$D$802)</x:f>
        <x:v>0.01592617908407382</x:v>
      </x:c>
      <x:c r="J147" s="103" t="n">
        <x:f>(D147/SUMIF($A$4:$A$802,A147,$D$4:$D$802))/(SUMIF($C$4:$C$802,C147,$D$4:$D$802)/SUM($D$4:$D$802))</x:f>
        <x:v>1.0256598974140905</x:v>
      </x:c>
    </x:row>
    <x:row r="148">
      <x:c r="A148" s="101" t="str">
        <x:v>栃木県</x:v>
      </x:c>
      <x:c r="B148" s="101" t="str">
        <x:v>J</x:v>
      </x:c>
      <x:c r="C148" s="101" t="str">
        <x:v>金融業，保険業</x:v>
      </x:c>
      <x:c r="D148" s="102" t="n">
        <x:v>1224</x:v>
      </x:c>
      <x:c r="E148" s="102" t="n">
        <x:f>1+COUNTIFS($C$4:$C$802,C148,$D$4:$D$802,"&gt;"&amp;D148)</x:f>
        <x:v>23</x:v>
      </x:c>
      <x:c r="F148" s="102" t="n">
        <x:v>1933146</x:v>
      </x:c>
      <x:c r="G148" s="126" t="n">
        <x:f>D148/F148*100000</x:f>
        <x:v>63.31647997616321</x:v>
      </x:c>
      <x:c r="H148" s="127" t="n">
        <x:f>1+COUNTIFS($C$4:$C$802,C148,$G$4:$G$802,"&gt;"&amp;G148)</x:f>
        <x:v>37</x:v>
      </x:c>
      <x:c r="I148" s="128" t="n">
        <x:f>D148/SUMIF($C$4:$C$802,C148,$D$4:$D$802)</x:f>
        <x:v>0.014597147354863331</x:v>
      </x:c>
      <x:c r="J148" s="103" t="n">
        <x:f>(D148/SUMIF($A$4:$A$802,A148,$D$4:$D$802))/(SUMIF($C$4:$C$802,C148,$D$4:$D$802)/SUM($D$4:$D$802))</x:f>
        <x:v>0.9400690887307174</x:v>
      </x:c>
    </x:row>
    <x:row r="149">
      <x:c r="A149" s="101" t="str">
        <x:v>栃木県</x:v>
      </x:c>
      <x:c r="B149" s="101" t="str">
        <x:v>K</x:v>
      </x:c>
      <x:c r="C149" s="101" t="str">
        <x:v>不動産業，物品賃貸業</x:v>
      </x:c>
      <x:c r="D149" s="102" t="n">
        <x:v>4777</x:v>
      </x:c>
      <x:c r="E149" s="102" t="n">
        <x:f>1+COUNTIFS($C$4:$C$802,C149,$D$4:$D$802,"&gt;"&amp;D149)</x:f>
        <x:v>21</x:v>
      </x:c>
      <x:c r="F149" s="102" t="n">
        <x:v>1933146</x:v>
      </x:c>
      <x:c r="G149" s="126" t="n">
        <x:f>D149/F149*100000</x:f>
        <x:v>247.1101510180814</x:v>
      </x:c>
      <x:c r="H149" s="127" t="n">
        <x:f>1+COUNTIFS($C$4:$C$802,C149,$G$4:$G$802,"&gt;"&amp;G149)</x:f>
        <x:v>27</x:v>
      </x:c>
      <x:c r="I149" s="128" t="n">
        <x:f>D149/SUMIF($C$4:$C$802,C149,$D$4:$D$802)</x:f>
        <x:v>0.0127571730724037</x:v>
      </x:c>
      <x:c r="J149" s="103" t="n">
        <x:f>(D149/SUMIF($A$4:$A$802,A149,$D$4:$D$802))/(SUMIF($C$4:$C$802,C149,$D$4:$D$802)/SUM($D$4:$D$802))</x:f>
        <x:v>0.8215731316132128</x:v>
      </x:c>
    </x:row>
    <x:row r="150">
      <x:c r="A150" s="101" t="str">
        <x:v>栃木県</x:v>
      </x:c>
      <x:c r="B150" s="101" t="str">
        <x:v>L</x:v>
      </x:c>
      <x:c r="C150" s="101" t="str">
        <x:v>学術研究，専門・技術サービス業</x:v>
      </x:c>
      <x:c r="D150" s="102" t="n">
        <x:v>3119</x:v>
      </x:c>
      <x:c r="E150" s="102" t="n">
        <x:f>1+COUNTIFS($C$4:$C$802,C150,$D$4:$D$802,"&gt;"&amp;D150)</x:f>
        <x:v>22</x:v>
      </x:c>
      <x:c r="F150" s="102" t="n">
        <x:v>1933146</x:v>
      </x:c>
      <x:c r="G150" s="126" t="n">
        <x:f>D150/F150*100000</x:f>
        <x:v>161.34321980854006</x:v>
      </x:c>
      <x:c r="H150" s="127" t="n">
        <x:f>1+COUNTIFS($C$4:$C$802,C150,$G$4:$G$802,"&gt;"&amp;G150)</x:f>
        <x:v>39</x:v>
      </x:c>
      <x:c r="I150" s="128" t="n">
        <x:f>D150/SUMIF($C$4:$C$802,C150,$D$4:$D$802)</x:f>
        <x:v>0.012360307521597844</x:v>
      </x:c>
      <x:c r="J150" s="103" t="n">
        <x:f>(D150/SUMIF($A$4:$A$802,A150,$D$4:$D$802))/(SUMIF($C$4:$C$802,C150,$D$4:$D$802)/SUM($D$4:$D$802))</x:f>
        <x:v>0.7960146421614792</x:v>
      </x:c>
    </x:row>
    <x:row r="151">
      <x:c r="A151" s="101" t="str">
        <x:v>栃木県</x:v>
      </x:c>
      <x:c r="B151" s="101" t="str">
        <x:v>M</x:v>
      </x:c>
      <x:c r="C151" s="101" t="str">
        <x:v>宿泊業，飲食サービス業</x:v>
      </x:c>
      <x:c r="D151" s="102" t="n">
        <x:v>9099</x:v>
      </x:c>
      <x:c r="E151" s="102" t="n">
        <x:f>1+COUNTIFS($C$4:$C$802,C151,$D$4:$D$802,"&gt;"&amp;D151)</x:f>
        <x:v>19</x:v>
      </x:c>
      <x:c r="F151" s="102" t="n">
        <x:v>1933146</x:v>
      </x:c>
      <x:c r="G151" s="126" t="n">
        <x:f>D151/F151*100000</x:f>
        <x:v>470.6835386463309</x:v>
      </x:c>
      <x:c r="H151" s="127" t="n">
        <x:f>1+COUNTIFS($C$4:$C$802,C151,$G$4:$G$802,"&gt;"&amp;G151)</x:f>
        <x:v>33</x:v>
      </x:c>
      <x:c r="I151" s="128" t="n">
        <x:f>D151/SUMIF($C$4:$C$802,C151,$D$4:$D$802)</x:f>
        <x:v>0.01518884648898771</x:v>
      </x:c>
      <x:c r="J151" s="103" t="n">
        <x:f>(D151/SUMIF($A$4:$A$802,A151,$D$4:$D$802))/(SUMIF($C$4:$C$802,C151,$D$4:$D$802)/SUM($D$4:$D$802))</x:f>
        <x:v>0.9781750317822369</x:v>
      </x:c>
    </x:row>
    <x:row r="152">
      <x:c r="A152" s="101" t="str">
        <x:v>栃木県</x:v>
      </x:c>
      <x:c r="B152" s="101" t="str">
        <x:v>N</x:v>
      </x:c>
      <x:c r="C152" s="101" t="str">
        <x:v>生活関連サービス業，娯楽業</x:v>
      </x:c>
      <x:c r="D152" s="102" t="n">
        <x:v>7365</x:v>
      </x:c>
      <x:c r="E152" s="102" t="n">
        <x:f>1+COUNTIFS($C$4:$C$802,C152,$D$4:$D$802,"&gt;"&amp;D152)</x:f>
        <x:v>20</x:v>
      </x:c>
      <x:c r="F152" s="102" t="n">
        <x:v>1933146</x:v>
      </x:c>
      <x:c r="G152" s="126" t="n">
        <x:f>D152/F152*100000</x:f>
        <x:v>380.98519201343305</x:v>
      </x:c>
      <x:c r="H152" s="127" t="n">
        <x:f>1+COUNTIFS($C$4:$C$802,C152,$G$4:$G$802,"&gt;"&amp;G152)</x:f>
        <x:v>28</x:v>
      </x:c>
      <x:c r="I152" s="128" t="n">
        <x:f>D152/SUMIF($C$4:$C$802,C152,$D$4:$D$802)</x:f>
        <x:v>0.01696187780538865</x:v>
      </x:c>
      <x:c r="J152" s="103" t="n">
        <x:f>(D152/SUMIF($A$4:$A$802,A152,$D$4:$D$802))/(SUMIF($C$4:$C$802,C152,$D$4:$D$802)/SUM($D$4:$D$802))</x:f>
        <x:v>1.092359803188599</x:v>
      </x:c>
    </x:row>
    <x:row r="153">
      <x:c r="A153" s="101" t="str">
        <x:v>栃木県</x:v>
      </x:c>
      <x:c r="B153" s="101" t="str">
        <x:v>O</x:v>
      </x:c>
      <x:c r="C153" s="101" t="str">
        <x:v>教育，学習支援業</x:v>
      </x:c>
      <x:c r="D153" s="102" t="n">
        <x:v>2467</x:v>
      </x:c>
      <x:c r="E153" s="102" t="n">
        <x:f>1+COUNTIFS($C$4:$C$802,C153,$D$4:$D$802,"&gt;"&amp;D153)</x:f>
        <x:v>19</x:v>
      </x:c>
      <x:c r="F153" s="102" t="n">
        <x:v>1933146</x:v>
      </x:c>
      <x:c r="G153" s="126" t="n">
        <x:f>D153/F153*100000</x:f>
        <x:v>127.61581380816556</x:v>
      </x:c>
      <x:c r="H153" s="127" t="n">
        <x:f>1+COUNTIFS($C$4:$C$802,C153,$G$4:$G$802,"&gt;"&amp;G153)</x:f>
        <x:v>27</x:v>
      </x:c>
      <x:c r="I153" s="128" t="n">
        <x:f>D153/SUMIF($C$4:$C$802,C153,$D$4:$D$802)</x:f>
        <x:v>0.01510189339911972</x:v>
      </x:c>
      <x:c r="J153" s="103" t="n">
        <x:f>(D153/SUMIF($A$4:$A$802,A153,$D$4:$D$802))/(SUMIF($C$4:$C$802,C153,$D$4:$D$802)/SUM($D$4:$D$802))</x:f>
        <x:v>0.9725751765524896</x:v>
      </x:c>
    </x:row>
    <x:row r="154">
      <x:c r="A154" s="101" t="str">
        <x:v>栃木県</x:v>
      </x:c>
      <x:c r="B154" s="101" t="str">
        <x:v>P</x:v>
      </x:c>
      <x:c r="C154" s="101" t="str">
        <x:v>医療，福祉</x:v>
      </x:c>
      <x:c r="D154" s="102" t="n">
        <x:v>6420</x:v>
      </x:c>
      <x:c r="E154" s="102" t="n">
        <x:f>1+COUNTIFS($C$4:$C$802,C154,$D$4:$D$802,"&gt;"&amp;D154)</x:f>
        <x:v>23</x:v>
      </x:c>
      <x:c r="F154" s="102" t="n">
        <x:v>1933146</x:v>
      </x:c>
      <x:c r="G154" s="126" t="n">
        <x:f>D154/F154*100000</x:f>
        <x:v>332.1011449730129</x:v>
      </x:c>
      <x:c r="H154" s="127" t="n">
        <x:f>1+COUNTIFS($C$4:$C$802,C154,$G$4:$G$802,"&gt;"&amp;G154)</x:f>
        <x:v>43</x:v>
      </x:c>
      <x:c r="I154" s="128" t="n">
        <x:f>D154/SUMIF($C$4:$C$802,C154,$D$4:$D$802)</x:f>
        <x:v>0.01388015073584257</x:v>
      </x:c>
      <x:c r="J154" s="103" t="n">
        <x:f>(D154/SUMIF($A$4:$A$802,A154,$D$4:$D$802))/(SUMIF($C$4:$C$802,C154,$D$4:$D$802)/SUM($D$4:$D$802))</x:f>
        <x:v>0.893893877788472</x:v>
      </x:c>
    </x:row>
    <x:row r="155">
      <x:c r="A155" s="101" t="str">
        <x:v>栃木県</x:v>
      </x:c>
      <x:c r="B155" s="101" t="str">
        <x:v>Q</x:v>
      </x:c>
      <x:c r="C155" s="101" t="str">
        <x:v>複合サービス事業</x:v>
      </x:c>
      <x:c r="D155" s="102" t="n">
        <x:v>461</x:v>
      </x:c>
      <x:c r="E155" s="102" t="n">
        <x:f>1+COUNTIFS($C$4:$C$802,C155,$D$4:$D$802,"&gt;"&amp;D155)</x:f>
        <x:v>32</x:v>
      </x:c>
      <x:c r="F155" s="102" t="n">
        <x:v>1933146</x:v>
      </x:c>
      <x:c r="G155" s="126" t="n">
        <x:f>D155/F155*100000</x:f>
        <x:v>23.84713829167585</x:v>
      </x:c>
      <x:c r="H155" s="127" t="n">
        <x:f>1+COUNTIFS($C$4:$C$802,C155,$G$4:$G$802,"&gt;"&amp;G155)</x:f>
        <x:v>35</x:v>
      </x:c>
      <x:c r="I155" s="128" t="n">
        <x:f>D155/SUMIF($C$4:$C$802,C155,$D$4:$D$802)</x:f>
        <x:v>0.014347514861037627</x:v>
      </x:c>
      <x:c r="J155" s="103" t="n">
        <x:f>(D155/SUMIF($A$4:$A$802,A155,$D$4:$D$802))/(SUMIF($C$4:$C$802,C155,$D$4:$D$802)/SUM($D$4:$D$802))</x:f>
        <x:v>0.9239925372454629</x:v>
      </x:c>
    </x:row>
    <x:row r="156">
      <x:c r="A156" s="101" t="str">
        <x:v>栃木県</x:v>
      </x:c>
      <x:c r="B156" s="101" t="str">
        <x:v>R</x:v>
      </x:c>
      <x:c r="C156" s="101" t="str">
        <x:v>サービス業（他に分類されないもの）</x:v>
      </x:c>
      <x:c r="D156" s="102" t="n">
        <x:v>5041</x:v>
      </x:c>
      <x:c r="E156" s="102" t="n">
        <x:f>1+COUNTIFS($C$4:$C$802,C156,$D$4:$D$802,"&gt;"&amp;D156)</x:f>
        <x:v>24</x:v>
      </x:c>
      <x:c r="F156" s="102" t="n">
        <x:v>1933146</x:v>
      </x:c>
      <x:c r="G156" s="126" t="n">
        <x:f>D156/F156*100000</x:f>
        <x:v>260.7666466992147</x:v>
      </x:c>
      <x:c r="H156" s="127" t="n">
        <x:f>1+COUNTIFS($C$4:$C$802,C156,$G$4:$G$802,"&gt;"&amp;G156)</x:f>
        <x:v>44</x:v>
      </x:c>
      <x:c r="I156" s="128" t="n">
        <x:f>D156/SUMIF($C$4:$C$802,C156,$D$4:$D$802)</x:f>
        <x:v>0.013653402381287715</x:v>
      </x:c>
      <x:c r="J156" s="103" t="n">
        <x:f>(D156/SUMIF($A$4:$A$802,A156,$D$4:$D$802))/(SUMIF($C$4:$C$802,C156,$D$4:$D$802)/SUM($D$4:$D$802))</x:f>
        <x:v>0.879291084937542</x:v>
      </x:c>
    </x:row>
    <x:row r="157">
      <x:c r="A157" s="101" t="str">
        <x:v>群馬県</x:v>
      </x:c>
      <x:c r="B157" s="101" t="str">
        <x:v>AB</x:v>
      </x:c>
      <x:c r="C157" s="101" t="str">
        <x:v>農林漁業</x:v>
      </x:c>
      <x:c r="D157" s="102" t="n">
        <x:v>835</x:v>
      </x:c>
      <x:c r="E157" s="102" t="n">
        <x:f>1+COUNTIFS($C$4:$C$802,C157,$D$4:$D$802,"&gt;"&amp;D157)</x:f>
        <x:v>21</x:v>
      </x:c>
      <x:c r="F157" s="102" t="n">
        <x:v>1939110</x:v>
      </x:c>
      <x:c r="G157" s="126" t="n">
        <x:f>D157/F157*100000</x:f>
        <x:v>43.060991898345115</x:v>
      </x:c>
      <x:c r="H157" s="127" t="n">
        <x:f>1+COUNTIFS($C$4:$C$802,C157,$G$4:$G$802,"&gt;"&amp;G157)</x:f>
        <x:v>30</x:v>
      </x:c>
      <x:c r="I157" s="128" t="n">
        <x:f>D157/SUMIF($C$4:$C$802,C157,$D$4:$D$802)</x:f>
        <x:v>0.019666493946959348</x:v>
      </x:c>
      <x:c r="J157" s="103" t="n">
        <x:f>(D157/SUMIF($A$4:$A$802,A157,$D$4:$D$802))/(SUMIF($C$4:$C$802,C157,$D$4:$D$802)/SUM($D$4:$D$802))</x:f>
        <x:v>1.192918859094868</x:v>
      </x:c>
    </x:row>
    <x:row r="158">
      <x:c r="A158" s="101" t="str">
        <x:v>群馬県</x:v>
      </x:c>
      <x:c r="B158" s="101" t="str">
        <x:v>C</x:v>
      </x:c>
      <x:c r="C158" s="101" t="str">
        <x:v>鉱業，採石業，砂利採取業</x:v>
      </x:c>
      <x:c r="D158" s="102" t="n">
        <x:v>29</x:v>
      </x:c>
      <x:c r="E158" s="102" t="n">
        <x:f>1+COUNTIFS($C$4:$C$802,C158,$D$4:$D$802,"&gt;"&amp;D158)</x:f>
        <x:v>25</x:v>
      </x:c>
      <x:c r="F158" s="102" t="n">
        <x:v>1939110</x:v>
      </x:c>
      <x:c r="G158" s="126" t="n">
        <x:f>D158/F158*100000</x:f>
        <x:v>1.495531455152106</x:v>
      </x:c>
      <x:c r="H158" s="127" t="n">
        <x:f>1+COUNTIFS($C$4:$C$802,C158,$G$4:$G$802,"&gt;"&amp;G158)</x:f>
        <x:v>32</x:v>
      </x:c>
      <x:c r="I158" s="128" t="n">
        <x:f>D158/SUMIF($C$4:$C$802,C158,$D$4:$D$802)</x:f>
        <x:v>0.015549597855227882</x:v>
      </x:c>
      <x:c r="J158" s="103" t="n">
        <x:f>(D158/SUMIF($A$4:$A$802,A158,$D$4:$D$802))/(SUMIF($C$4:$C$802,C158,$D$4:$D$802)/SUM($D$4:$D$802))</x:f>
        <x:v>0.9431985478891314</x:v>
      </x:c>
    </x:row>
    <x:row r="159">
      <x:c r="A159" s="101" t="str">
        <x:v>群馬県</x:v>
      </x:c>
      <x:c r="B159" s="101" t="str">
        <x:v>D</x:v>
      </x:c>
      <x:c r="C159" s="101" t="str">
        <x:v>建設業</x:v>
      </x:c>
      <x:c r="D159" s="102" t="n">
        <x:v>9424</x:v>
      </x:c>
      <x:c r="E159" s="102" t="n">
        <x:f>1+COUNTIFS($C$4:$C$802,C159,$D$4:$D$802,"&gt;"&amp;D159)</x:f>
        <x:v>18</x:v>
      </x:c>
      <x:c r="F159" s="102" t="n">
        <x:v>1939110</x:v>
      </x:c>
      <x:c r="G159" s="126" t="n">
        <x:f>D159/F159*100000</x:f>
        <x:v>485.9961528742567</x:v>
      </x:c>
      <x:c r="H159" s="127" t="n">
        <x:f>1+COUNTIFS($C$4:$C$802,C159,$G$4:$G$802,"&gt;"&amp;G159)</x:f>
        <x:v>13</x:v>
      </x:c>
      <x:c r="I159" s="128" t="n">
        <x:f>D159/SUMIF($C$4:$C$802,C159,$D$4:$D$802)</x:f>
        <x:v>0.01942552073134282</x:v>
      </x:c>
      <x:c r="J159" s="103" t="n">
        <x:f>(D159/SUMIF($A$4:$A$802,A159,$D$4:$D$802))/(SUMIF($C$4:$C$802,C159,$D$4:$D$802)/SUM($D$4:$D$802))</x:f>
        <x:v>1.1783020446173624</x:v>
      </x:c>
    </x:row>
    <x:row r="160">
      <x:c r="A160" s="101" t="str">
        <x:v>群馬県</x:v>
      </x:c>
      <x:c r="B160" s="101" t="str">
        <x:v>E</x:v>
      </x:c>
      <x:c r="C160" s="101" t="str">
        <x:v>製造業</x:v>
      </x:c>
      <x:c r="D160" s="102" t="n">
        <x:v>9737</x:v>
      </x:c>
      <x:c r="E160" s="102" t="n">
        <x:f>1+COUNTIFS($C$4:$C$802,C160,$D$4:$D$802,"&gt;"&amp;D160)</x:f>
        <x:v>16</x:v>
      </x:c>
      <x:c r="F160" s="102" t="n">
        <x:v>1939110</x:v>
      </x:c>
      <x:c r="G160" s="126" t="n">
        <x:f>D160/F160*100000</x:f>
        <x:v>502.13757857986394</x:v>
      </x:c>
      <x:c r="H160" s="127" t="n">
        <x:f>1+COUNTIFS($C$4:$C$802,C160,$G$4:$G$802,"&gt;"&amp;G160)</x:f>
        <x:v>5</x:v>
      </x:c>
      <x:c r="I160" s="128" t="n">
        <x:f>D160/SUMIF($C$4:$C$802,C160,$D$4:$D$802)</x:f>
        <x:v>0.02359815518992189</x:v>
      </x:c>
      <x:c r="J160" s="103" t="n">
        <x:f>(D160/SUMIF($A$4:$A$802,A160,$D$4:$D$802))/(SUMIF($C$4:$C$802,C160,$D$4:$D$802)/SUM($D$4:$D$802))</x:f>
        <x:v>1.4314033015659944</x:v>
      </x:c>
    </x:row>
    <x:row r="161">
      <x:c r="A161" s="101" t="str">
        <x:v>群馬県</x:v>
      </x:c>
      <x:c r="B161" s="101" t="str">
        <x:v>F</x:v>
      </x:c>
      <x:c r="C161" s="101" t="str">
        <x:v>電気・ガス・熱供給・水道業</x:v>
      </x:c>
      <x:c r="D161" s="102" t="n">
        <x:v>290</x:v>
      </x:c>
      <x:c r="E161" s="102" t="n">
        <x:f>1+COUNTIFS($C$4:$C$802,C161,$D$4:$D$802,"&gt;"&amp;D161)</x:f>
        <x:v>7</x:v>
      </x:c>
      <x:c r="F161" s="102" t="n">
        <x:v>1939110</x:v>
      </x:c>
      <x:c r="G161" s="126" t="n">
        <x:f>D161/F161*100000</x:f>
        <x:v>14.955314551521058</x:v>
      </x:c>
      <x:c r="H161" s="127" t="n">
        <x:f>1+COUNTIFS($C$4:$C$802,C161,$G$4:$G$802,"&gt;"&amp;G161)</x:f>
        <x:v>6</x:v>
      </x:c>
      <x:c r="I161" s="128" t="n">
        <x:f>D161/SUMIF($C$4:$C$802,C161,$D$4:$D$802)</x:f>
        <x:v>0.03173213699529489</x:v>
      </x:c>
      <x:c r="J161" s="103" t="n">
        <x:f>(D161/SUMIF($A$4:$A$802,A161,$D$4:$D$802))/(SUMIF($C$4:$C$802,C161,$D$4:$D$802)/SUM($D$4:$D$802))</x:f>
        <x:v>1.924789683568476</x:v>
      </x:c>
    </x:row>
    <x:row r="162">
      <x:c r="A162" s="101" t="str">
        <x:v>群馬県</x:v>
      </x:c>
      <x:c r="B162" s="101" t="str">
        <x:v>G</x:v>
      </x:c>
      <x:c r="C162" s="101" t="str">
        <x:v>情報通信業</x:v>
      </x:c>
      <x:c r="D162" s="102" t="n">
        <x:v>598</x:v>
      </x:c>
      <x:c r="E162" s="102" t="n">
        <x:f>1+COUNTIFS($C$4:$C$802,C162,$D$4:$D$802,"&gt;"&amp;D162)</x:f>
        <x:v>19</x:v>
      </x:c>
      <x:c r="F162" s="102" t="n">
        <x:v>1939110</x:v>
      </x:c>
      <x:c r="G162" s="126" t="n">
        <x:f>D162/F162*100000</x:f>
        <x:v>30.838890006239975</x:v>
      </x:c>
      <x:c r="H162" s="127" t="n">
        <x:f>1+COUNTIFS($C$4:$C$802,C162,$G$4:$G$802,"&gt;"&amp;G162)</x:f>
        <x:v>35</x:v>
      </x:c>
      <x:c r="I162" s="128" t="n">
        <x:f>D162/SUMIF($C$4:$C$802,C162,$D$4:$D$802)</x:f>
        <x:v>0.007810969317781058</x:v>
      </x:c>
      <x:c r="J162" s="103" t="n">
        <x:f>(D162/SUMIF($A$4:$A$802,A162,$D$4:$D$802))/(SUMIF($C$4:$C$802,C162,$D$4:$D$802)/SUM($D$4:$D$802))</x:f>
        <x:v>0.473793276631956</x:v>
      </x:c>
    </x:row>
    <x:row r="163">
      <x:c r="A163" s="101" t="str">
        <x:v>群馬県</x:v>
      </x:c>
      <x:c r="B163" s="101" t="str">
        <x:v>H</x:v>
      </x:c>
      <x:c r="C163" s="101" t="str">
        <x:v>運輸業，郵便業</x:v>
      </x:c>
      <x:c r="D163" s="102" t="n">
        <x:v>2009</x:v>
      </x:c>
      <x:c r="E163" s="102" t="n">
        <x:f>1+COUNTIFS($C$4:$C$802,C163,$D$4:$D$802,"&gt;"&amp;D163)</x:f>
        <x:v>18</x:v>
      </x:c>
      <x:c r="F163" s="102" t="n">
        <x:v>1939110</x:v>
      </x:c>
      <x:c r="G163" s="126" t="n">
        <x:f>D163/F163*100000</x:f>
        <x:v>103.60423080691658</x:v>
      </x:c>
      <x:c r="H163" s="127" t="n">
        <x:f>1+COUNTIFS($C$4:$C$802,C163,$G$4:$G$802,"&gt;"&amp;G163)</x:f>
        <x:v>22</x:v>
      </x:c>
      <x:c r="I163" s="128" t="n">
        <x:f>D163/SUMIF($C$4:$C$802,C163,$D$4:$D$802)</x:f>
        <x:v>0.015667893686049414</x:v>
      </x:c>
      <x:c r="J163" s="103" t="n">
        <x:f>(D163/SUMIF($A$4:$A$802,A163,$D$4:$D$802))/(SUMIF($C$4:$C$802,C163,$D$4:$D$802)/SUM($D$4:$D$802))</x:f>
        <x:v>0.9503740682396269</x:v>
      </x:c>
    </x:row>
    <x:row r="164">
      <x:c r="A164" s="101" t="str">
        <x:v>群馬県</x:v>
      </x:c>
      <x:c r="B164" s="101" t="str">
        <x:v>I</x:v>
      </x:c>
      <x:c r="C164" s="101" t="str">
        <x:v>卸売業，小売業</x:v>
      </x:c>
      <x:c r="D164" s="102" t="n">
        <x:v>19722</x:v>
      </x:c>
      <x:c r="E164" s="102" t="n">
        <x:f>1+COUNTIFS($C$4:$C$802,C164,$D$4:$D$802,"&gt;"&amp;D164)</x:f>
        <x:v>19</x:v>
      </x:c>
      <x:c r="F164" s="102" t="n">
        <x:v>1939110</x:v>
      </x:c>
      <x:c r="G164" s="126" t="n">
        <x:f>D164/F164*100000</x:f>
        <x:v>1017.0645296037874</x:v>
      </x:c>
      <x:c r="H164" s="127" t="n">
        <x:f>1+COUNTIFS($C$4:$C$802,C164,$G$4:$G$802,"&gt;"&amp;G164)</x:f>
        <x:v>33</x:v>
      </x:c>
      <x:c r="I164" s="128" t="n">
        <x:f>D164/SUMIF($C$4:$C$802,C164,$D$4:$D$802)</x:f>
        <x:v>0.016048237476808905</x:v>
      </x:c>
      <x:c r="J164" s="103" t="n">
        <x:f>(D164/SUMIF($A$4:$A$802,A164,$D$4:$D$802))/(SUMIF($C$4:$C$802,C164,$D$4:$D$802)/SUM($D$4:$D$802))</x:f>
        <x:v>0.9734447427665818</x:v>
      </x:c>
    </x:row>
    <x:row r="165">
      <x:c r="A165" s="101" t="str">
        <x:v>群馬県</x:v>
      </x:c>
      <x:c r="B165" s="101" t="str">
        <x:v>J</x:v>
      </x:c>
      <x:c r="C165" s="101" t="str">
        <x:v>金融業，保険業</x:v>
      </x:c>
      <x:c r="D165" s="102" t="n">
        <x:v>1407</x:v>
      </x:c>
      <x:c r="E165" s="102" t="n">
        <x:f>1+COUNTIFS($C$4:$C$802,C165,$D$4:$D$802,"&gt;"&amp;D165)</x:f>
        <x:v>18</x:v>
      </x:c>
      <x:c r="F165" s="102" t="n">
        <x:v>1939110</x:v>
      </x:c>
      <x:c r="G165" s="126" t="n">
        <x:f>D165/F165*100000</x:f>
        <x:v>72.55906059996596</x:v>
      </x:c>
      <x:c r="H165" s="127" t="n">
        <x:f>1+COUNTIFS($C$4:$C$802,C165,$G$4:$G$802,"&gt;"&amp;G165)</x:f>
        <x:v>29</x:v>
      </x:c>
      <x:c r="I165" s="128" t="n">
        <x:f>D165/SUMIF($C$4:$C$802,C165,$D$4:$D$802)</x:f>
        <x:v>0.01677956399370319</x:v>
      </x:c>
      <x:c r="J165" s="103" t="n">
        <x:f>(D165/SUMIF($A$4:$A$802,A165,$D$4:$D$802))/(SUMIF($C$4:$C$802,C165,$D$4:$D$802)/SUM($D$4:$D$802))</x:f>
        <x:v>1.017805125278699</x:v>
      </x:c>
    </x:row>
    <x:row r="166">
      <x:c r="A166" s="101" t="str">
        <x:v>群馬県</x:v>
      </x:c>
      <x:c r="B166" s="101" t="str">
        <x:v>K</x:v>
      </x:c>
      <x:c r="C166" s="101" t="str">
        <x:v>不動産業，物品賃貸業</x:v>
      </x:c>
      <x:c r="D166" s="102" t="n">
        <x:v>5298</x:v>
      </x:c>
      <x:c r="E166" s="102" t="n">
        <x:f>1+COUNTIFS($C$4:$C$802,C166,$D$4:$D$802,"&gt;"&amp;D166)</x:f>
        <x:v>18</x:v>
      </x:c>
      <x:c r="F166" s="102" t="n">
        <x:v>1939110</x:v>
      </x:c>
      <x:c r="G166" s="126" t="n">
        <x:f>D166/F166*100000</x:f>
        <x:v>273.2181258412365</x:v>
      </x:c>
      <x:c r="H166" s="127" t="n">
        <x:f>1+COUNTIFS($C$4:$C$802,C166,$G$4:$G$802,"&gt;"&amp;G166)</x:f>
        <x:v>18</x:v>
      </x:c>
      <x:c r="I166" s="128" t="n">
        <x:f>D166/SUMIF($C$4:$C$802,C166,$D$4:$D$802)</x:f>
        <x:v>0.014148524793300147</x:v>
      </x:c>
      <x:c r="J166" s="103" t="n">
        <x:f>(D166/SUMIF($A$4:$A$802,A166,$D$4:$D$802))/(SUMIF($C$4:$C$802,C166,$D$4:$D$802)/SUM($D$4:$D$802))</x:f>
        <x:v>0.8582130653190774</x:v>
      </x:c>
    </x:row>
    <x:row r="167">
      <x:c r="A167" s="101" t="str">
        <x:v>群馬県</x:v>
      </x:c>
      <x:c r="B167" s="101" t="str">
        <x:v>L</x:v>
      </x:c>
      <x:c r="C167" s="101" t="str">
        <x:v>学術研究，専門・技術サービス業</x:v>
      </x:c>
      <x:c r="D167" s="102" t="n">
        <x:v>3325</x:v>
      </x:c>
      <x:c r="E167" s="102" t="n">
        <x:f>1+COUNTIFS($C$4:$C$802,C167,$D$4:$D$802,"&gt;"&amp;D167)</x:f>
        <x:v>20</x:v>
      </x:c>
      <x:c r="F167" s="102" t="n">
        <x:v>1939110</x:v>
      </x:c>
      <x:c r="G167" s="126" t="n">
        <x:f>D167/F167*100000</x:f>
        <x:v>171.4704168407156</x:v>
      </x:c>
      <x:c r="H167" s="127" t="n">
        <x:f>1+COUNTIFS($C$4:$C$802,C167,$G$4:$G$802,"&gt;"&amp;G167)</x:f>
        <x:v>30</x:v>
      </x:c>
      <x:c r="I167" s="128" t="n">
        <x:f>D167/SUMIF($C$4:$C$802,C167,$D$4:$D$802)</x:f>
        <x:v>0.013176666402472854</x:v>
      </x:c>
      <x:c r="J167" s="103" t="n">
        <x:f>(D167/SUMIF($A$4:$A$802,A167,$D$4:$D$802))/(SUMIF($C$4:$C$802,C167,$D$4:$D$802)/SUM($D$4:$D$802))</x:f>
        <x:v>0.7992626389790171</x:v>
      </x:c>
    </x:row>
    <x:row r="168">
      <x:c r="A168" s="101" t="str">
        <x:v>群馬県</x:v>
      </x:c>
      <x:c r="B168" s="101" t="str">
        <x:v>M</x:v>
      </x:c>
      <x:c r="C168" s="101" t="str">
        <x:v>宿泊業，飲食サービス業</x:v>
      </x:c>
      <x:c r="D168" s="102" t="n">
        <x:v>8884</x:v>
      </x:c>
      <x:c r="E168" s="102" t="n">
        <x:f>1+COUNTIFS($C$4:$C$802,C168,$D$4:$D$802,"&gt;"&amp;D168)</x:f>
        <x:v>21</x:v>
      </x:c>
      <x:c r="F168" s="102" t="n">
        <x:v>1939110</x:v>
      </x:c>
      <x:c r="G168" s="126" t="n">
        <x:f>D168/F168*100000</x:f>
        <x:v>458.14832577832095</x:v>
      </x:c>
      <x:c r="H168" s="127" t="n">
        <x:f>1+COUNTIFS($C$4:$C$802,C168,$G$4:$G$802,"&gt;"&amp;G168)</x:f>
        <x:v>36</x:v>
      </x:c>
      <x:c r="I168" s="128" t="n">
        <x:f>D168/SUMIF($C$4:$C$802,C168,$D$4:$D$802)</x:f>
        <x:v>0.014829949687676319</x:v>
      </x:c>
      <x:c r="J168" s="103" t="n">
        <x:f>(D168/SUMIF($A$4:$A$802,A168,$D$4:$D$802))/(SUMIF($C$4:$C$802,C168,$D$4:$D$802)/SUM($D$4:$D$802))</x:f>
        <x:v>0.8995465439630298</x:v>
      </x:c>
    </x:row>
    <x:row r="169">
      <x:c r="A169" s="101" t="str">
        <x:v>群馬県</x:v>
      </x:c>
      <x:c r="B169" s="101" t="str">
        <x:v>N</x:v>
      </x:c>
      <x:c r="C169" s="101" t="str">
        <x:v>生活関連サービス業，娯楽業</x:v>
      </x:c>
      <x:c r="D169" s="102" t="n">
        <x:v>7576</x:v>
      </x:c>
      <x:c r="E169" s="102" t="n">
        <x:f>1+COUNTIFS($C$4:$C$802,C169,$D$4:$D$802,"&gt;"&amp;D169)</x:f>
        <x:v>19</x:v>
      </x:c>
      <x:c r="F169" s="102" t="n">
        <x:v>1939110</x:v>
      </x:c>
      <x:c r="G169" s="126" t="n">
        <x:f>D169/F169*100000</x:f>
        <x:v>390.6947001459432</x:v>
      </x:c>
      <x:c r="H169" s="127" t="n">
        <x:f>1+COUNTIFS($C$4:$C$802,C169,$G$4:$G$802,"&gt;"&amp;G169)</x:f>
        <x:v>23</x:v>
      </x:c>
      <x:c r="I169" s="128" t="n">
        <x:f>D169/SUMIF($C$4:$C$802,C169,$D$4:$D$802)</x:f>
        <x:v>0.017447818907484643</x:v>
      </x:c>
      <x:c r="J169" s="103" t="n">
        <x:f>(D169/SUMIF($A$4:$A$802,A169,$D$4:$D$802))/(SUMIF($C$4:$C$802,C169,$D$4:$D$802)/SUM($D$4:$D$802))</x:f>
        <x:v>1.0583397468275473</x:v>
      </x:c>
    </x:row>
    <x:row r="170">
      <x:c r="A170" s="101" t="str">
        <x:v>群馬県</x:v>
      </x:c>
      <x:c r="B170" s="101" t="str">
        <x:v>O</x:v>
      </x:c>
      <x:c r="C170" s="101" t="str">
        <x:v>教育，学習支援業</x:v>
      </x:c>
      <x:c r="D170" s="102" t="n">
        <x:v>2397</x:v>
      </x:c>
      <x:c r="E170" s="102" t="n">
        <x:f>1+COUNTIFS($C$4:$C$802,C170,$D$4:$D$802,"&gt;"&amp;D170)</x:f>
        <x:v>20</x:v>
      </x:c>
      <x:c r="F170" s="102" t="n">
        <x:v>1939110</x:v>
      </x:c>
      <x:c r="G170" s="126" t="n">
        <x:f>D170/F170*100000</x:f>
        <x:v>123.6134102758482</x:v>
      </x:c>
      <x:c r="H170" s="127" t="n">
        <x:f>1+COUNTIFS($C$4:$C$802,C170,$G$4:$G$802,"&gt;"&amp;G170)</x:f>
        <x:v>31</x:v>
      </x:c>
      <x:c r="I170" s="128" t="n">
        <x:f>D170/SUMIF($C$4:$C$802,C170,$D$4:$D$802)</x:f>
        <x:v>0.014673384060676923</x:v>
      </x:c>
      <x:c r="J170" s="103" t="n">
        <x:f>(D170/SUMIF($A$4:$A$802,A170,$D$4:$D$802))/(SUMIF($C$4:$C$802,C170,$D$4:$D$802)/SUM($D$4:$D$802))</x:f>
        <x:v>0.8900496763649052</x:v>
      </x:c>
    </x:row>
    <x:row r="171">
      <x:c r="A171" s="101" t="str">
        <x:v>群馬県</x:v>
      </x:c>
      <x:c r="B171" s="101" t="str">
        <x:v>P</x:v>
      </x:c>
      <x:c r="C171" s="101" t="str">
        <x:v>医療，福祉</x:v>
      </x:c>
      <x:c r="D171" s="102" t="n">
        <x:v>7170</x:v>
      </x:c>
      <x:c r="E171" s="102" t="n">
        <x:f>1+COUNTIFS($C$4:$C$802,C171,$D$4:$D$802,"&gt;"&amp;D171)</x:f>
        <x:v>19</x:v>
      </x:c>
      <x:c r="F171" s="102" t="n">
        <x:v>1939110</x:v>
      </x:c>
      <x:c r="G171" s="126" t="n">
        <x:f>D171/F171*100000</x:f>
        <x:v>369.75725977381376</x:v>
      </x:c>
      <x:c r="H171" s="127" t="n">
        <x:f>1+COUNTIFS($C$4:$C$802,C171,$G$4:$G$802,"&gt;"&amp;G171)</x:f>
        <x:v>27</x:v>
      </x:c>
      <x:c r="I171" s="128" t="n">
        <x:f>D171/SUMIF($C$4:$C$802,C171,$D$4:$D$802)</x:f>
        <x:v>0.015501663672272778</x:v>
      </x:c>
      <x:c r="J171" s="103" t="n">
        <x:f>(D171/SUMIF($A$4:$A$802,A171,$D$4:$D$802))/(SUMIF($C$4:$C$802,C171,$D$4:$D$802)/SUM($D$4:$D$802))</x:f>
        <x:v>0.9402909838364503</x:v>
      </x:c>
    </x:row>
    <x:row r="172">
      <x:c r="A172" s="101" t="str">
        <x:v>群馬県</x:v>
      </x:c>
      <x:c r="B172" s="101" t="str">
        <x:v>Q</x:v>
      </x:c>
      <x:c r="C172" s="101" t="str">
        <x:v>複合サービス事業</x:v>
      </x:c>
      <x:c r="D172" s="102" t="n">
        <x:v>475</x:v>
      </x:c>
      <x:c r="E172" s="102" t="n">
        <x:f>1+COUNTIFS($C$4:$C$802,C172,$D$4:$D$802,"&gt;"&amp;D172)</x:f>
        <x:v>31</x:v>
      </x:c>
      <x:c r="F172" s="102" t="n">
        <x:v>1939110</x:v>
      </x:c>
      <x:c r="G172" s="126" t="n">
        <x:f>D172/F172*100000</x:f>
        <x:v>24.49577383438794</x:v>
      </x:c>
      <x:c r="H172" s="127" t="n">
        <x:f>1+COUNTIFS($C$4:$C$802,C172,$G$4:$G$802,"&gt;"&amp;G172)</x:f>
        <x:v>34</x:v>
      </x:c>
      <x:c r="I172" s="128" t="n">
        <x:f>D172/SUMIF($C$4:$C$802,C172,$D$4:$D$802)</x:f>
        <x:v>0.014783231147489964</x:v>
      </x:c>
      <x:c r="J172" s="103" t="n">
        <x:f>(D172/SUMIF($A$4:$A$802,A172,$D$4:$D$802))/(SUMIF($C$4:$C$802,C172,$D$4:$D$802)/SUM($D$4:$D$802))</x:f>
        <x:v>0.8967127176690298</x:v>
      </x:c>
    </x:row>
    <x:row r="173">
      <x:c r="A173" s="101" t="str">
        <x:v>群馬県</x:v>
      </x:c>
      <x:c r="B173" s="101" t="str">
        <x:v>R</x:v>
      </x:c>
      <x:c r="C173" s="101" t="str">
        <x:v>サービス業（他に分類されないもの）</x:v>
      </x:c>
      <x:c r="D173" s="102" t="n">
        <x:v>5827</x:v>
      </x:c>
      <x:c r="E173" s="102" t="n">
        <x:f>1+COUNTIFS($C$4:$C$802,C173,$D$4:$D$802,"&gt;"&amp;D173)</x:f>
        <x:v>21</x:v>
      </x:c>
      <x:c r="F173" s="102" t="n">
        <x:v>1939110</x:v>
      </x:c>
      <x:c r="G173" s="126" t="n">
        <x:f>D173/F173*100000</x:f>
        <x:v>300.49868238521793</x:v>
      </x:c>
      <x:c r="H173" s="127" t="n">
        <x:f>1+COUNTIFS($C$4:$C$802,C173,$G$4:$G$802,"&gt;"&amp;G173)</x:f>
        <x:v>34</x:v>
      </x:c>
      <x:c r="I173" s="128" t="n">
        <x:f>D173/SUMIF($C$4:$C$802,C173,$D$4:$D$802)</x:f>
        <x:v>0.015782260598247076</x:v>
      </x:c>
      <x:c r="J173" s="103" t="n">
        <x:f>(D173/SUMIF($A$4:$A$802,A173,$D$4:$D$802))/(SUMIF($C$4:$C$802,C173,$D$4:$D$802)/SUM($D$4:$D$802))</x:f>
        <x:v>0.9573112705078601</x:v>
      </x:c>
    </x:row>
    <x:row r="174">
      <x:c r="A174" s="101" t="str">
        <x:v>埼玉県</x:v>
      </x:c>
      <x:c r="B174" s="101" t="str">
        <x:v>AB</x:v>
      </x:c>
      <x:c r="C174" s="101" t="str">
        <x:v>農林漁業</x:v>
      </x:c>
      <x:c r="D174" s="102" t="n">
        <x:v>743</x:v>
      </x:c>
      <x:c r="E174" s="102" t="n">
        <x:f>1+COUNTIFS($C$4:$C$802,C174,$D$4:$D$802,"&gt;"&amp;D174)</x:f>
        <x:v>29</x:v>
      </x:c>
      <x:c r="F174" s="102" t="n">
        <x:v>7344765</x:v>
      </x:c>
      <x:c r="G174" s="126" t="n">
        <x:f>D174/F174*100000</x:f>
        <x:v>10.116048641447344</x:v>
      </x:c>
      <x:c r="H174" s="127" t="n">
        <x:f>1+COUNTIFS($C$4:$C$802,C174,$G$4:$G$802,"&gt;"&amp;G174)</x:f>
        <x:v>44</x:v>
      </x:c>
      <x:c r="I174" s="128" t="n">
        <x:f>D174/SUMIF($C$4:$C$802,C174,$D$4:$D$802)</x:f>
        <x:v>0.017499646709689575</x:v>
      </x:c>
      <x:c r="J174" s="103" t="n">
        <x:f>(D174/SUMIF($A$4:$A$802,A174,$D$4:$D$802))/(SUMIF($C$4:$C$802,C174,$D$4:$D$802)/SUM($D$4:$D$802))</x:f>
        <x:v>0.3918276210185175</x:v>
      </x:c>
    </x:row>
    <x:row r="175">
      <x:c r="A175" s="101" t="str">
        <x:v>埼玉県</x:v>
      </x:c>
      <x:c r="B175" s="101" t="str">
        <x:v>C</x:v>
      </x:c>
      <x:c r="C175" s="101" t="str">
        <x:v>鉱業，採石業，砂利採取業</x:v>
      </x:c>
      <x:c r="D175" s="102" t="n">
        <x:v>31</x:v>
      </x:c>
      <x:c r="E175" s="102" t="n">
        <x:f>1+COUNTIFS($C$4:$C$802,C175,$D$4:$D$802,"&gt;"&amp;D175)</x:f>
        <x:v>23</x:v>
      </x:c>
      <x:c r="F175" s="102" t="n">
        <x:v>7344765</x:v>
      </x:c>
      <x:c r="G175" s="126" t="n">
        <x:f>D175/F175*100000</x:f>
        <x:v>0.42206932420574383</x:v>
      </x:c>
      <x:c r="H175" s="127" t="n">
        <x:f>1+COUNTIFS($C$4:$C$802,C175,$G$4:$G$802,"&gt;"&amp;G175)</x:f>
        <x:v>44</x:v>
      </x:c>
      <x:c r="I175" s="128" t="n">
        <x:f>D175/SUMIF($C$4:$C$802,C175,$D$4:$D$802)</x:f>
        <x:v>0.016621983914209115</x:v>
      </x:c>
      <x:c r="J175" s="103" t="n">
        <x:f>(D175/SUMIF($A$4:$A$802,A175,$D$4:$D$802))/(SUMIF($C$4:$C$802,C175,$D$4:$D$802)/SUM($D$4:$D$802))</x:f>
        <x:v>0.37217622285519586</x:v>
      </x:c>
    </x:row>
    <x:row r="176">
      <x:c r="A176" s="101" t="str">
        <x:v>埼玉県</x:v>
      </x:c>
      <x:c r="B176" s="101" t="str">
        <x:v>D</x:v>
      </x:c>
      <x:c r="C176" s="101" t="str">
        <x:v>建設業</x:v>
      </x:c>
      <x:c r="D176" s="102" t="n">
        <x:v>25560</x:v>
      </x:c>
      <x:c r="E176" s="102" t="n">
        <x:f>1+COUNTIFS($C$4:$C$802,C176,$D$4:$D$802,"&gt;"&amp;D176)</x:f>
        <x:v>5</x:v>
      </x:c>
      <x:c r="F176" s="102" t="n">
        <x:v>7344765</x:v>
      </x:c>
      <x:c r="G176" s="126" t="n">
        <x:f>D176/F176*100000</x:f>
        <x:v>348.00296537738103</x:v>
      </x:c>
      <x:c r="H176" s="127" t="n">
        <x:f>1+COUNTIFS($C$4:$C$802,C176,$G$4:$G$802,"&gt;"&amp;G176)</x:f>
        <x:v>39</x:v>
      </x:c>
      <x:c r="I176" s="128" t="n">
        <x:f>D176/SUMIF($C$4:$C$802,C176,$D$4:$D$802)</x:f>
        <x:v>0.052686365650798234</x:v>
      </x:c>
      <x:c r="J176" s="103" t="n">
        <x:f>(D176/SUMIF($A$4:$A$802,A176,$D$4:$D$802))/(SUMIF($C$4:$C$802,C176,$D$4:$D$802)/SUM($D$4:$D$802))</x:f>
        <x:v>1.1796794332786966</x:v>
      </x:c>
    </x:row>
    <x:row r="177">
      <x:c r="A177" s="101" t="str">
        <x:v>埼玉県</x:v>
      </x:c>
      <x:c r="B177" s="101" t="str">
        <x:v>E</x:v>
      </x:c>
      <x:c r="C177" s="101" t="str">
        <x:v>製造業</x:v>
      </x:c>
      <x:c r="D177" s="102" t="n">
        <x:v>23810</x:v>
      </x:c>
      <x:c r="E177" s="102" t="n">
        <x:f>1+COUNTIFS($C$4:$C$802,C177,$D$4:$D$802,"&gt;"&amp;D177)</x:f>
        <x:v>4</x:v>
      </x:c>
      <x:c r="F177" s="102" t="n">
        <x:v>7344765</x:v>
      </x:c>
      <x:c r="G177" s="126" t="n">
        <x:f>D177/F177*100000</x:f>
        <x:v>324.17647126899226</x:v>
      </x:c>
      <x:c r="H177" s="127" t="n">
        <x:f>1+COUNTIFS($C$4:$C$802,C177,$G$4:$G$802,"&gt;"&amp;G177)</x:f>
        <x:v>26</x:v>
      </x:c>
      <x:c r="I177" s="128" t="n">
        <x:f>D177/SUMIF($C$4:$C$802,C177,$D$4:$D$802)</x:f>
        <x:v>0.05770484492883231</x:v>
      </x:c>
      <x:c r="J177" s="103" t="n">
        <x:f>(D177/SUMIF($A$4:$A$802,A177,$D$4:$D$802))/(SUMIF($C$4:$C$802,C177,$D$4:$D$802)/SUM($D$4:$D$802))</x:f>
        <x:v>1.2920462044063692</x:v>
      </x:c>
    </x:row>
    <x:row r="178">
      <x:c r="A178" s="101" t="str">
        <x:v>埼玉県</x:v>
      </x:c>
      <x:c r="B178" s="101" t="str">
        <x:v>F</x:v>
      </x:c>
      <x:c r="C178" s="101" t="str">
        <x:v>電気・ガス・熱供給・水道業</x:v>
      </x:c>
      <x:c r="D178" s="102" t="n">
        <x:v>230</x:v>
      </x:c>
      <x:c r="E178" s="102" t="n">
        <x:f>1+COUNTIFS($C$4:$C$802,C178,$D$4:$D$802,"&gt;"&amp;D178)</x:f>
        <x:v>15</x:v>
      </x:c>
      <x:c r="F178" s="102" t="n">
        <x:v>7344765</x:v>
      </x:c>
      <x:c r="G178" s="126" t="n">
        <x:f>D178/F178*100000</x:f>
        <x:v>3.131482082816809</x:v>
      </x:c>
      <x:c r="H178" s="127" t="n">
        <x:f>1+COUNTIFS($C$4:$C$802,C178,$G$4:$G$802,"&gt;"&amp;G178)</x:f>
        <x:v>46</x:v>
      </x:c>
      <x:c r="I178" s="128" t="n">
        <x:f>D178/SUMIF($C$4:$C$802,C178,$D$4:$D$802)</x:f>
        <x:v>0.02516686727213043</x:v>
      </x:c>
      <x:c r="J178" s="103" t="n">
        <x:f>(D178/SUMIF($A$4:$A$802,A178,$D$4:$D$802))/(SUMIF($C$4:$C$802,C178,$D$4:$D$802)/SUM($D$4:$D$802))</x:f>
        <x:v>0.5635013035016052</x:v>
      </x:c>
    </x:row>
    <x:row r="179">
      <x:c r="A179" s="101" t="str">
        <x:v>埼玉県</x:v>
      </x:c>
      <x:c r="B179" s="101" t="str">
        <x:v>G</x:v>
      </x:c>
      <x:c r="C179" s="101" t="str">
        <x:v>情報通信業</x:v>
      </x:c>
      <x:c r="D179" s="102" t="n">
        <x:v>2173</x:v>
      </x:c>
      <x:c r="E179" s="102" t="n">
        <x:f>1+COUNTIFS($C$4:$C$802,C179,$D$4:$D$802,"&gt;"&amp;D179)</x:f>
        <x:v>7</x:v>
      </x:c>
      <x:c r="F179" s="102" t="n">
        <x:v>7344765</x:v>
      </x:c>
      <x:c r="G179" s="126" t="n">
        <x:f>D179/F179*100000</x:f>
        <x:v>29.585698112873594</x:v>
      </x:c>
      <x:c r="H179" s="127" t="n">
        <x:f>1+COUNTIFS($C$4:$C$802,C179,$G$4:$G$802,"&gt;"&amp;G179)</x:f>
        <x:v>38</x:v>
      </x:c>
      <x:c r="I179" s="128" t="n">
        <x:f>D179/SUMIF($C$4:$C$802,C179,$D$4:$D$802)</x:f>
        <x:v>0.028383338340364946</x:v>
      </x:c>
      <x:c r="J179" s="103" t="n">
        <x:f>(D179/SUMIF($A$4:$A$802,A179,$D$4:$D$802))/(SUMIF($C$4:$C$802,C179,$D$4:$D$802)/SUM($D$4:$D$802))</x:f>
        <x:v>0.6355200263735012</x:v>
      </x:c>
    </x:row>
    <x:row r="180">
      <x:c r="A180" s="101" t="str">
        <x:v>埼玉県</x:v>
      </x:c>
      <x:c r="B180" s="101" t="str">
        <x:v>H</x:v>
      </x:c>
      <x:c r="C180" s="101" t="str">
        <x:v>運輸業，郵便業</x:v>
      </x:c>
      <x:c r="D180" s="102" t="n">
        <x:v>7295</x:v>
      </x:c>
      <x:c r="E180" s="102" t="n">
        <x:f>1+COUNTIFS($C$4:$C$802,C180,$D$4:$D$802,"&gt;"&amp;D180)</x:f>
        <x:v>5</x:v>
      </x:c>
      <x:c r="F180" s="102" t="n">
        <x:v>7344765</x:v>
      </x:c>
      <x:c r="G180" s="126" t="n">
        <x:f>D180/F180*100000</x:f>
        <x:v>99.32244258325487</x:v>
      </x:c>
      <x:c r="H180" s="127" t="n">
        <x:f>1+COUNTIFS($C$4:$C$802,C180,$G$4:$G$802,"&gt;"&amp;G180)</x:f>
        <x:v>29</x:v>
      </x:c>
      <x:c r="I180" s="128" t="n">
        <x:f>D180/SUMIF($C$4:$C$802,C180,$D$4:$D$802)</x:f>
        <x:v>0.056892625405540305</x:v>
      </x:c>
      <x:c r="J180" s="103" t="n">
        <x:f>(D180/SUMIF($A$4:$A$802,A180,$D$4:$D$802))/(SUMIF($C$4:$C$802,C180,$D$4:$D$802)/SUM($D$4:$D$802))</x:f>
        <x:v>1.2738601204907387</x:v>
      </x:c>
    </x:row>
    <x:row r="181">
      <x:c r="A181" s="101" t="str">
        <x:v>埼玉県</x:v>
      </x:c>
      <x:c r="B181" s="101" t="str">
        <x:v>I</x:v>
      </x:c>
      <x:c r="C181" s="101" t="str">
        <x:v>卸売業，小売業</x:v>
      </x:c>
      <x:c r="D181" s="102" t="n">
        <x:v>51720</x:v>
      </x:c>
      <x:c r="E181" s="102" t="n">
        <x:f>1+COUNTIFS($C$4:$C$802,C181,$D$4:$D$802,"&gt;"&amp;D181)</x:f>
        <x:v>6</x:v>
      </x:c>
      <x:c r="F181" s="102" t="n">
        <x:v>7344765</x:v>
      </x:c>
      <x:c r="G181" s="126" t="n">
        <x:f>D181/F181*100000</x:f>
        <x:v>704.1750144490668</x:v>
      </x:c>
      <x:c r="H181" s="127" t="n">
        <x:f>1+COUNTIFS($C$4:$C$802,C181,$G$4:$G$802,"&gt;"&amp;G181)</x:f>
        <x:v>45</x:v>
      </x:c>
      <x:c r="I181" s="128" t="n">
        <x:f>D181/SUMIF($C$4:$C$802,C181,$D$4:$D$802)</x:f>
        <x:v>0.042085733815057126</x:v>
      </x:c>
      <x:c r="J181" s="103" t="n">
        <x:f>(D181/SUMIF($A$4:$A$802,A181,$D$4:$D$802))/(SUMIF($C$4:$C$802,C181,$D$4:$D$802)/SUM($D$4:$D$802))</x:f>
        <x:v>0.942324907076077</x:v>
      </x:c>
    </x:row>
    <x:row r="182">
      <x:c r="A182" s="101" t="str">
        <x:v>埼玉県</x:v>
      </x:c>
      <x:c r="B182" s="101" t="str">
        <x:v>J</x:v>
      </x:c>
      <x:c r="C182" s="101" t="str">
        <x:v>金融業，保険業</x:v>
      </x:c>
      <x:c r="D182" s="102" t="n">
        <x:v>3045</x:v>
      </x:c>
      <x:c r="E182" s="102" t="n">
        <x:f>1+COUNTIFS($C$4:$C$802,C182,$D$4:$D$802,"&gt;"&amp;D182)</x:f>
        <x:v>7</x:v>
      </x:c>
      <x:c r="F182" s="102" t="n">
        <x:v>7344765</x:v>
      </x:c>
      <x:c r="G182" s="126" t="n">
        <x:f>D182/F182*100000</x:f>
        <x:v>41.458099748596446</x:v>
      </x:c>
      <x:c r="H182" s="127" t="n">
        <x:f>1+COUNTIFS($C$4:$C$802,C182,$G$4:$G$802,"&gt;"&amp;G182)</x:f>
        <x:v>46</x:v>
      </x:c>
      <x:c r="I182" s="128" t="n">
        <x:f>D182/SUMIF($C$4:$C$802,C182,$D$4:$D$802)</x:f>
        <x:v>0.036313981777417355</x:v>
      </x:c>
      <x:c r="J182" s="103" t="n">
        <x:f>(D182/SUMIF($A$4:$A$802,A182,$D$4:$D$802))/(SUMIF($C$4:$C$802,C182,$D$4:$D$802)/SUM($D$4:$D$802))</x:f>
        <x:v>0.81309190554554</x:v>
      </x:c>
    </x:row>
    <x:row r="183">
      <x:c r="A183" s="101" t="str">
        <x:v>埼玉県</x:v>
      </x:c>
      <x:c r="B183" s="101" t="str">
        <x:v>K</x:v>
      </x:c>
      <x:c r="C183" s="101" t="str">
        <x:v>不動産業，物品賃貸業</x:v>
      </x:c>
      <x:c r="D183" s="102" t="n">
        <x:v>17484</x:v>
      </x:c>
      <x:c r="E183" s="102" t="n">
        <x:f>1+COUNTIFS($C$4:$C$802,C183,$D$4:$D$802,"&gt;"&amp;D183)</x:f>
        <x:v>5</x:v>
      </x:c>
      <x:c r="F183" s="102" t="n">
        <x:v>7344765</x:v>
      </x:c>
      <x:c r="G183" s="126" t="n">
        <x:f>D183/F183*100000</x:f>
        <x:v>238.04709885203954</x:v>
      </x:c>
      <x:c r="H183" s="127" t="n">
        <x:f>1+COUNTIFS($C$4:$C$802,C183,$G$4:$G$802,"&gt;"&amp;G183)</x:f>
        <x:v>31</x:v>
      </x:c>
      <x:c r="I183" s="128" t="n">
        <x:f>D183/SUMIF($C$4:$C$802,C183,$D$4:$D$802)</x:f>
        <x:v>0.04669173414232914</x:v>
      </x:c>
      <x:c r="J183" s="103" t="n">
        <x:f>(D183/SUMIF($A$4:$A$802,A183,$D$4:$D$802))/(SUMIF($C$4:$C$802,C183,$D$4:$D$802)/SUM($D$4:$D$802))</x:f>
        <x:v>1.0454560262686838</x:v>
      </x:c>
    </x:row>
    <x:row r="184">
      <x:c r="A184" s="101" t="str">
        <x:v>埼玉県</x:v>
      </x:c>
      <x:c r="B184" s="101" t="str">
        <x:v>L</x:v>
      </x:c>
      <x:c r="C184" s="101" t="str">
        <x:v>学術研究，専門・技術サービス業</x:v>
      </x:c>
      <x:c r="D184" s="102" t="n">
        <x:v>9646</x:v>
      </x:c>
      <x:c r="E184" s="102" t="n">
        <x:f>1+COUNTIFS($C$4:$C$802,C184,$D$4:$D$802,"&gt;"&amp;D184)</x:f>
        <x:v>6</x:v>
      </x:c>
      <x:c r="F184" s="102" t="n">
        <x:v>7344765</x:v>
      </x:c>
      <x:c r="G184" s="126" t="n">
        <x:f>D184/F184*100000</x:f>
        <x:v>131.33163552543888</x:v>
      </x:c>
      <x:c r="H184" s="127" t="n">
        <x:f>1+COUNTIFS($C$4:$C$802,C184,$G$4:$G$802,"&gt;"&amp;G184)</x:f>
        <x:v>46</x:v>
      </x:c>
      <x:c r="I184" s="128" t="n">
        <x:f>D184/SUMIF($C$4:$C$802,C184,$D$4:$D$802)</x:f>
        <x:v>0.03822620274233177</x:v>
      </x:c>
      <x:c r="J184" s="103" t="n">
        <x:f>(D184/SUMIF($A$4:$A$802,A184,$D$4:$D$802))/(SUMIF($C$4:$C$802,C184,$D$4:$D$802)/SUM($D$4:$D$802))</x:f>
        <x:v>0.8559076837137521</x:v>
      </x:c>
    </x:row>
    <x:row r="185">
      <x:c r="A185" s="101" t="str">
        <x:v>埼玉県</x:v>
      </x:c>
      <x:c r="B185" s="101" t="str">
        <x:v>M</x:v>
      </x:c>
      <x:c r="C185" s="101" t="str">
        <x:v>宿泊業，飲食サービス業</x:v>
      </x:c>
      <x:c r="D185" s="102" t="n">
        <x:v>23094</x:v>
      </x:c>
      <x:c r="E185" s="102" t="n">
        <x:f>1+COUNTIFS($C$4:$C$802,C185,$D$4:$D$802,"&gt;"&amp;D185)</x:f>
        <x:v>8</x:v>
      </x:c>
      <x:c r="F185" s="102" t="n">
        <x:v>7344765</x:v>
      </x:c>
      <x:c r="G185" s="126" t="n">
        <x:f>D185/F185*100000</x:f>
        <x:v>314.4280313937886</x:v>
      </x:c>
      <x:c r="H185" s="127" t="n">
        <x:f>1+COUNTIFS($C$4:$C$802,C185,$G$4:$G$802,"&gt;"&amp;G185)</x:f>
        <x:v>47</x:v>
      </x:c>
      <x:c r="I185" s="128" t="n">
        <x:f>D185/SUMIF($C$4:$C$802,C185,$D$4:$D$802)</x:f>
        <x:v>0.0385505243231874</x:v>
      </x:c>
      <x:c r="J185" s="103" t="n">
        <x:f>(D185/SUMIF($A$4:$A$802,A185,$D$4:$D$802))/(SUMIF($C$4:$C$802,C185,$D$4:$D$802)/SUM($D$4:$D$802))</x:f>
        <x:v>0.8631694390840055</x:v>
      </x:c>
    </x:row>
    <x:row r="186">
      <x:c r="A186" s="101" t="str">
        <x:v>埼玉県</x:v>
      </x:c>
      <x:c r="B186" s="101" t="str">
        <x:v>N</x:v>
      </x:c>
      <x:c r="C186" s="101" t="str">
        <x:v>生活関連サービス業，娯楽業</x:v>
      </x:c>
      <x:c r="D186" s="102" t="n">
        <x:v>20345</x:v>
      </x:c>
      <x:c r="E186" s="102" t="n">
        <x:f>1+COUNTIFS($C$4:$C$802,C186,$D$4:$D$802,"&gt;"&amp;D186)</x:f>
        <x:v>5</x:v>
      </x:c>
      <x:c r="F186" s="102" t="n">
        <x:v>7344765</x:v>
      </x:c>
      <x:c r="G186" s="126" t="n">
        <x:f>D186/F186*100000</x:f>
        <x:v>277.0000129343825</x:v>
      </x:c>
      <x:c r="H186" s="127" t="n">
        <x:f>1+COUNTIFS($C$4:$C$802,C186,$G$4:$G$802,"&gt;"&amp;G186)</x:f>
        <x:v>46</x:v>
      </x:c>
      <x:c r="I186" s="128" t="n">
        <x:f>D186/SUMIF($C$4:$C$802,C186,$D$4:$D$802)</x:f>
        <x:v>0.04685531621868731</x:v>
      </x:c>
      <x:c r="J186" s="103" t="n">
        <x:f>(D186/SUMIF($A$4:$A$802,A186,$D$4:$D$802))/(SUMIF($C$4:$C$802,C186,$D$4:$D$802)/SUM($D$4:$D$802))</x:f>
        <x:v>1.0491187274011133</x:v>
      </x:c>
    </x:row>
    <x:row r="187">
      <x:c r="A187" s="101" t="str">
        <x:v>埼玉県</x:v>
      </x:c>
      <x:c r="B187" s="101" t="str">
        <x:v>O</x:v>
      </x:c>
      <x:c r="C187" s="101" t="str">
        <x:v>教育，学習支援業</x:v>
      </x:c>
      <x:c r="D187" s="102" t="n">
        <x:v>8399</x:v>
      </x:c>
      <x:c r="E187" s="102" t="n">
        <x:f>1+COUNTIFS($C$4:$C$802,C187,$D$4:$D$802,"&gt;"&amp;D187)</x:f>
        <x:v>5</x:v>
      </x:c>
      <x:c r="F187" s="102" t="n">
        <x:v>7344765</x:v>
      </x:c>
      <x:c r="G187" s="126" t="n">
        <x:f>D187/F187*100000</x:f>
        <x:v>114.35355658077557</x:v>
      </x:c>
      <x:c r="H187" s="127" t="n">
        <x:f>1+COUNTIFS($C$4:$C$802,C187,$G$4:$G$802,"&gt;"&amp;G187)</x:f>
        <x:v>43</x:v>
      </x:c>
      <x:c r="I187" s="128" t="n">
        <x:f>D187/SUMIF($C$4:$C$802,C187,$D$4:$D$802)</x:f>
        <x:v>0.05141499905115789</x:v>
      </x:c>
      <x:c r="J187" s="103" t="n">
        <x:f>(D187/SUMIF($A$4:$A$802,A187,$D$4:$D$802))/(SUMIF($C$4:$C$802,C187,$D$4:$D$802)/SUM($D$4:$D$802))</x:f>
        <x:v>1.1512127700115093</x:v>
      </x:c>
    </x:row>
    <x:row r="188">
      <x:c r="A188" s="101" t="str">
        <x:v>埼玉県</x:v>
      </x:c>
      <x:c r="B188" s="101" t="str">
        <x:v>P</x:v>
      </x:c>
      <x:c r="C188" s="101" t="str">
        <x:v>医療，福祉</x:v>
      </x:c>
      <x:c r="D188" s="102" t="n">
        <x:v>21744</x:v>
      </x:c>
      <x:c r="E188" s="102" t="n">
        <x:f>1+COUNTIFS($C$4:$C$802,C188,$D$4:$D$802,"&gt;"&amp;D188)</x:f>
        <x:v>5</x:v>
      </x:c>
      <x:c r="F188" s="102" t="n">
        <x:v>7344765</x:v>
      </x:c>
      <x:c r="G188" s="126" t="n">
        <x:f>D188/F188*100000</x:f>
        <x:v>296.04759308160305</x:v>
      </x:c>
      <x:c r="H188" s="127" t="n">
        <x:f>1+COUNTIFS($C$4:$C$802,C188,$G$4:$G$802,"&gt;"&amp;G188)</x:f>
        <x:v>45</x:v>
      </x:c>
      <x:c r="I188" s="128" t="n">
        <x:f>D188/SUMIF($C$4:$C$802,C188,$D$4:$D$802)</x:f>
        <x:v>0.047010903052984554</x:v>
      </x:c>
      <x:c r="J188" s="103" t="n">
        <x:f>(D188/SUMIF($A$4:$A$802,A188,$D$4:$D$802))/(SUMIF($C$4:$C$802,C188,$D$4:$D$802)/SUM($D$4:$D$802))</x:f>
        <x:v>1.0526024102523068</x:v>
      </x:c>
    </x:row>
    <x:row r="189">
      <x:c r="A189" s="101" t="str">
        <x:v>埼玉県</x:v>
      </x:c>
      <x:c r="B189" s="101" t="str">
        <x:v>Q</x:v>
      </x:c>
      <x:c r="C189" s="101" t="str">
        <x:v>複合サービス事業</x:v>
      </x:c>
      <x:c r="D189" s="102" t="n">
        <x:v>896</x:v>
      </x:c>
      <x:c r="E189" s="102" t="n">
        <x:f>1+COUNTIFS($C$4:$C$802,C189,$D$4:$D$802,"&gt;"&amp;D189)</x:f>
        <x:v>11</x:v>
      </x:c>
      <x:c r="F189" s="102" t="n">
        <x:v>7344765</x:v>
      </x:c>
      <x:c r="G189" s="126" t="n">
        <x:f>D189/F189*100000</x:f>
        <x:v>12.199164983495047</x:v>
      </x:c>
      <x:c r="H189" s="127" t="n">
        <x:f>1+COUNTIFS($C$4:$C$802,C189,$G$4:$G$802,"&gt;"&amp;G189)</x:f>
        <x:v>46</x:v>
      </x:c>
      <x:c r="I189" s="128" t="n">
        <x:f>D189/SUMIF($C$4:$C$802,C189,$D$4:$D$802)</x:f>
        <x:v>0.02788584233294949</x:v>
      </x:c>
      <x:c r="J189" s="103" t="n">
        <x:f>(D189/SUMIF($A$4:$A$802,A189,$D$4:$D$802))/(SUMIF($C$4:$C$802,C189,$D$4:$D$802)/SUM($D$4:$D$802))</x:f>
        <x:v>0.6243807913771812</x:v>
      </x:c>
    </x:row>
    <x:row r="190">
      <x:c r="A190" s="101" t="str">
        <x:v>埼玉県</x:v>
      </x:c>
      <x:c r="B190" s="101" t="str">
        <x:v>R</x:v>
      </x:c>
      <x:c r="C190" s="101" t="str">
        <x:v>サービス業（他に分類されないもの）</x:v>
      </x:c>
      <x:c r="D190" s="102" t="n">
        <x:v>14063</x:v>
      </x:c>
      <x:c r="E190" s="102" t="n">
        <x:f>1+COUNTIFS($C$4:$C$802,C190,$D$4:$D$802,"&gt;"&amp;D190)</x:f>
        <x:v>8</x:v>
      </x:c>
      <x:c r="F190" s="102" t="n">
        <x:v>7344765</x:v>
      </x:c>
      <x:c r="G190" s="126" t="n">
        <x:f>D190/F190*100000</x:f>
        <x:v>191.4697066550121</x:v>
      </x:c>
      <x:c r="H190" s="127" t="n">
        <x:f>1+COUNTIFS($C$4:$C$802,C190,$G$4:$G$802,"&gt;"&amp;G190)</x:f>
        <x:v>46</x:v>
      </x:c>
      <x:c r="I190" s="128" t="n">
        <x:f>D190/SUMIF($C$4:$C$802,C190,$D$4:$D$802)</x:f>
        <x:v>0.03808922786908334</x:v>
      </x:c>
      <x:c r="J190" s="103" t="n">
        <x:f>(D190/SUMIF($A$4:$A$802,A190,$D$4:$D$802))/(SUMIF($C$4:$C$802,C190,$D$4:$D$802)/SUM($D$4:$D$802))</x:f>
        <x:v>0.8528407338710147</x:v>
      </x:c>
    </x:row>
    <x:row r="191">
      <x:c r="A191" s="101" t="str">
        <x:v>千葉県</x:v>
      </x:c>
      <x:c r="B191" s="101" t="str">
        <x:v>AB</x:v>
      </x:c>
      <x:c r="C191" s="101" t="str">
        <x:v>農林漁業</x:v>
      </x:c>
      <x:c r="D191" s="102" t="n">
        <x:v>1246</x:v>
      </x:c>
      <x:c r="E191" s="102" t="n">
        <x:f>1+COUNTIFS($C$4:$C$802,C191,$D$4:$D$802,"&gt;"&amp;D191)</x:f>
        <x:v>6</x:v>
      </x:c>
      <x:c r="F191" s="102" t="n">
        <x:v>6284480</x:v>
      </x:c>
      <x:c r="G191" s="126" t="n">
        <x:f>D191/F191*100000</x:f>
        <x:v>19.82662050002546</x:v>
      </x:c>
      <x:c r="H191" s="127" t="n">
        <x:f>1+COUNTIFS($C$4:$C$802,C191,$G$4:$G$802,"&gt;"&amp;G191)</x:f>
        <x:v>39</x:v>
      </x:c>
      <x:c r="I191" s="128" t="n">
        <x:f>D191/SUMIF($C$4:$C$802,C191,$D$4:$D$802)</x:f>
        <x:v>0.029346648452588442</x:v>
      </x:c>
      <x:c r="J191" s="103" t="n">
        <x:f>(D191/SUMIF($A$4:$A$802,A191,$D$4:$D$802))/(SUMIF($C$4:$C$802,C191,$D$4:$D$802)/SUM($D$4:$D$802))</x:f>
        <x:v>0.8282554957353674</x:v>
      </x:c>
    </x:row>
    <x:row r="192">
      <x:c r="A192" s="101" t="str">
        <x:v>千葉県</x:v>
      </x:c>
      <x:c r="B192" s="101" t="str">
        <x:v>C</x:v>
      </x:c>
      <x:c r="C192" s="101" t="str">
        <x:v>鉱業，採石業，砂利採取業</x:v>
      </x:c>
      <x:c r="D192" s="102" t="n">
        <x:v>71</x:v>
      </x:c>
      <x:c r="E192" s="102" t="n">
        <x:f>1+COUNTIFS($C$4:$C$802,C192,$D$4:$D$802,"&gt;"&amp;D192)</x:f>
        <x:v>5</x:v>
      </x:c>
      <x:c r="F192" s="102" t="n">
        <x:v>6284480</x:v>
      </x:c>
      <x:c r="G192" s="126" t="n">
        <x:f>D192/F192*100000</x:f>
        <x:v>1.1297672997606802</x:v>
      </x:c>
      <x:c r="H192" s="127" t="n">
        <x:f>1+COUNTIFS($C$4:$C$802,C192,$G$4:$G$802,"&gt;"&amp;G192)</x:f>
        <x:v>34</x:v>
      </x:c>
      <x:c r="I192" s="128" t="n">
        <x:f>D192/SUMIF($C$4:$C$802,C192,$D$4:$D$802)</x:f>
        <x:v>0.03806970509383378</x:v>
      </x:c>
      <x:c r="J192" s="103" t="n">
        <x:f>(D192/SUMIF($A$4:$A$802,A192,$D$4:$D$802))/(SUMIF($C$4:$C$802,C192,$D$4:$D$802)/SUM($D$4:$D$802))</x:f>
        <x:v>1.0744478203681005</x:v>
      </x:c>
    </x:row>
    <x:row r="193">
      <x:c r="A193" s="101" t="str">
        <x:v>千葉県</x:v>
      </x:c>
      <x:c r="B193" s="101" t="str">
        <x:v>D</x:v>
      </x:c>
      <x:c r="C193" s="101" t="str">
        <x:v>建設業</x:v>
      </x:c>
      <x:c r="D193" s="102" t="n">
        <x:v>20004</x:v>
      </x:c>
      <x:c r="E193" s="102" t="n">
        <x:f>1+COUNTIFS($C$4:$C$802,C193,$D$4:$D$802,"&gt;"&amp;D193)</x:f>
        <x:v>7</x:v>
      </x:c>
      <x:c r="F193" s="102" t="n">
        <x:v>6284480</x:v>
      </x:c>
      <x:c r="G193" s="126" t="n">
        <x:f>D193/F193*100000</x:f>
        <x:v>318.30795865369925</x:v>
      </x:c>
      <x:c r="H193" s="127" t="n">
        <x:f>1+COUNTIFS($C$4:$C$802,C193,$G$4:$G$802,"&gt;"&amp;G193)</x:f>
        <x:v>41</x:v>
      </x:c>
      <x:c r="I193" s="128" t="n">
        <x:f>D193/SUMIF($C$4:$C$802,C193,$D$4:$D$802)</x:f>
        <x:v>0.04123388335205665</x:v>
      </x:c>
      <x:c r="J193" s="103" t="n">
        <x:f>(D193/SUMIF($A$4:$A$802,A193,$D$4:$D$802))/(SUMIF($C$4:$C$802,C193,$D$4:$D$802)/SUM($D$4:$D$802))</x:f>
        <x:v>1.163750966384704</x:v>
      </x:c>
    </x:row>
    <x:row r="194">
      <x:c r="A194" s="101" t="str">
        <x:v>千葉県</x:v>
      </x:c>
      <x:c r="B194" s="101" t="str">
        <x:v>E</x:v>
      </x:c>
      <x:c r="C194" s="101" t="str">
        <x:v>製造業</x:v>
      </x:c>
      <x:c r="D194" s="102" t="n">
        <x:v>10411</x:v>
      </x:c>
      <x:c r="E194" s="102" t="n">
        <x:f>1+COUNTIFS($C$4:$C$802,C194,$D$4:$D$802,"&gt;"&amp;D194)</x:f>
        <x:v>11</x:v>
      </x:c>
      <x:c r="F194" s="102" t="n">
        <x:v>6284480</x:v>
      </x:c>
      <x:c r="G194" s="126" t="n">
        <x:f>D194/F194*100000</x:f>
        <x:v>165.66207546209074</x:v>
      </x:c>
      <x:c r="H194" s="127" t="n">
        <x:f>1+COUNTIFS($C$4:$C$802,C194,$G$4:$G$802,"&gt;"&amp;G194)</x:f>
        <x:v>47</x:v>
      </x:c>
      <x:c r="I194" s="128" t="n">
        <x:f>D194/SUMIF($C$4:$C$802,C194,$D$4:$D$802)</x:f>
        <x:v>0.02523163127064566</x:v>
      </x:c>
      <x:c r="J194" s="103" t="n">
        <x:f>(D194/SUMIF($A$4:$A$802,A194,$D$4:$D$802))/(SUMIF($C$4:$C$802,C194,$D$4:$D$802)/SUM($D$4:$D$802))</x:f>
        <x:v>0.7121166595920886</x:v>
      </x:c>
    </x:row>
    <x:row r="195">
      <x:c r="A195" s="101" t="str">
        <x:v>千葉県</x:v>
      </x:c>
      <x:c r="B195" s="101" t="str">
        <x:v>F</x:v>
      </x:c>
      <x:c r="C195" s="101" t="str">
        <x:v>電気・ガス・熱供給・水道業</x:v>
      </x:c>
      <x:c r="D195" s="102" t="n">
        <x:v>345</x:v>
      </x:c>
      <x:c r="E195" s="102" t="n">
        <x:f>1+COUNTIFS($C$4:$C$802,C195,$D$4:$D$802,"&gt;"&amp;D195)</x:f>
        <x:v>5</x:v>
      </x:c>
      <x:c r="F195" s="102" t="n">
        <x:v>6284480</x:v>
      </x:c>
      <x:c r="G195" s="126" t="n">
        <x:f>D195/F195*100000</x:f>
        <x:v>5.489714343907531</x:v>
      </x:c>
      <x:c r="H195" s="127" t="n">
        <x:f>1+COUNTIFS($C$4:$C$802,C195,$G$4:$G$802,"&gt;"&amp;G195)</x:f>
        <x:v>40</x:v>
      </x:c>
      <x:c r="I195" s="128" t="n">
        <x:f>D195/SUMIF($C$4:$C$802,C195,$D$4:$D$802)</x:f>
        <x:v>0.037750300908195644</x:v>
      </x:c>
      <x:c r="J195" s="103" t="n">
        <x:f>(D195/SUMIF($A$4:$A$802,A195,$D$4:$D$802))/(SUMIF($C$4:$C$802,C195,$D$4:$D$802)/SUM($D$4:$D$802))</x:f>
        <x:v>1.0654332212208397</x:v>
      </x:c>
    </x:row>
    <x:row r="196">
      <x:c r="A196" s="101" t="str">
        <x:v>千葉県</x:v>
      </x:c>
      <x:c r="B196" s="101" t="str">
        <x:v>G</x:v>
      </x:c>
      <x:c r="C196" s="101" t="str">
        <x:v>情報通信業</x:v>
      </x:c>
      <x:c r="D196" s="102" t="n">
        <x:v>1960</x:v>
      </x:c>
      <x:c r="E196" s="102" t="n">
        <x:f>1+COUNTIFS($C$4:$C$802,C196,$D$4:$D$802,"&gt;"&amp;D196)</x:f>
        <x:v>8</x:v>
      </x:c>
      <x:c r="F196" s="102" t="n">
        <x:v>6284480</x:v>
      </x:c>
      <x:c r="G196" s="126" t="n">
        <x:f>D196/F196*100000</x:f>
        <x:v>31.18794235959061</x:v>
      </x:c>
      <x:c r="H196" s="127" t="n">
        <x:f>1+COUNTIFS($C$4:$C$802,C196,$G$4:$G$802,"&gt;"&amp;G196)</x:f>
        <x:v>33</x:v>
      </x:c>
      <x:c r="I196" s="128" t="n">
        <x:f>D196/SUMIF($C$4:$C$802,C196,$D$4:$D$802)</x:f>
        <x:v>0.025601170339215506</x:v>
      </x:c>
      <x:c r="J196" s="103" t="n">
        <x:f>(D196/SUMIF($A$4:$A$802,A196,$D$4:$D$802))/(SUMIF($C$4:$C$802,C196,$D$4:$D$802)/SUM($D$4:$D$802))</x:f>
        <x:v>0.722546224144456</x:v>
      </x:c>
    </x:row>
    <x:row r="197">
      <x:c r="A197" s="101" t="str">
        <x:v>千葉県</x:v>
      </x:c>
      <x:c r="B197" s="101" t="str">
        <x:v>H</x:v>
      </x:c>
      <x:c r="C197" s="101" t="str">
        <x:v>運輸業，郵便業</x:v>
      </x:c>
      <x:c r="D197" s="102" t="n">
        <x:v>5724</x:v>
      </x:c>
      <x:c r="E197" s="102" t="n">
        <x:f>1+COUNTIFS($C$4:$C$802,C197,$D$4:$D$802,"&gt;"&amp;D197)</x:f>
        <x:v>7</x:v>
      </x:c>
      <x:c r="F197" s="102" t="n">
        <x:v>6284480</x:v>
      </x:c>
      <x:c r="G197" s="126" t="n">
        <x:f>D197/F197*100000</x:f>
        <x:v>91.08152146239625</x:v>
      </x:c>
      <x:c r="H197" s="127" t="n">
        <x:f>1+COUNTIFS($C$4:$C$802,C197,$G$4:$G$802,"&gt;"&amp;G197)</x:f>
        <x:v>38</x:v>
      </x:c>
      <x:c r="I197" s="128" t="n">
        <x:f>D197/SUMIF($C$4:$C$802,C197,$D$4:$D$802)</x:f>
        <x:v>0.04464062889942601</x:v>
      </x:c>
      <x:c r="J197" s="103" t="n">
        <x:f>(D197/SUMIF($A$4:$A$802,A197,$D$4:$D$802))/(SUMIF($C$4:$C$802,C197,$D$4:$D$802)/SUM($D$4:$D$802))</x:f>
        <x:v>1.2599001306321735</x:v>
      </x:c>
    </x:row>
    <x:row r="198">
      <x:c r="A198" s="101" t="str">
        <x:v>千葉県</x:v>
      </x:c>
      <x:c r="B198" s="101" t="str">
        <x:v>I</x:v>
      </x:c>
      <x:c r="C198" s="101" t="str">
        <x:v>卸売業，小売業</x:v>
      </x:c>
      <x:c r="D198" s="102" t="n">
        <x:v>42852</x:v>
      </x:c>
      <x:c r="E198" s="102" t="n">
        <x:f>1+COUNTIFS($C$4:$C$802,C198,$D$4:$D$802,"&gt;"&amp;D198)</x:f>
        <x:v>9</x:v>
      </x:c>
      <x:c r="F198" s="102" t="n">
        <x:v>6284480</x:v>
      </x:c>
      <x:c r="G198" s="126" t="n">
        <x:f>D198/F198*100000</x:f>
        <x:v>681.8702581597842</x:v>
      </x:c>
      <x:c r="H198" s="127" t="n">
        <x:f>1+COUNTIFS($C$4:$C$802,C198,$G$4:$G$802,"&gt;"&amp;G198)</x:f>
        <x:v>46</x:v>
      </x:c>
      <x:c r="I198" s="128" t="n">
        <x:f>D198/SUMIF($C$4:$C$802,C198,$D$4:$D$802)</x:f>
        <x:v>0.03486964163655893</x:v>
      </x:c>
      <x:c r="J198" s="103" t="n">
        <x:f>(D198/SUMIF($A$4:$A$802,A198,$D$4:$D$802))/(SUMIF($C$4:$C$802,C198,$D$4:$D$802)/SUM($D$4:$D$802))</x:f>
        <x:v>0.9841318802200512</x:v>
      </x:c>
    </x:row>
    <x:row r="199">
      <x:c r="A199" s="101" t="str">
        <x:v>千葉県</x:v>
      </x:c>
      <x:c r="B199" s="101" t="str">
        <x:v>J</x:v>
      </x:c>
      <x:c r="C199" s="101" t="str">
        <x:v>金融業，保険業</x:v>
      </x:c>
      <x:c r="D199" s="102" t="n">
        <x:v>2750</x:v>
      </x:c>
      <x:c r="E199" s="102" t="n">
        <x:f>1+COUNTIFS($C$4:$C$802,C199,$D$4:$D$802,"&gt;"&amp;D199)</x:f>
        <x:v>9</x:v>
      </x:c>
      <x:c r="F199" s="102" t="n">
        <x:v>6284480</x:v>
      </x:c>
      <x:c r="G199" s="126" t="n">
        <x:f>D199/F199*100000</x:f>
        <x:v>43.75859259636437</x:v>
      </x:c>
      <x:c r="H199" s="127" t="n">
        <x:f>1+COUNTIFS($C$4:$C$802,C199,$G$4:$G$802,"&gt;"&amp;G199)</x:f>
        <x:v>45</x:v>
      </x:c>
      <x:c r="I199" s="128" t="n">
        <x:f>D199/SUMIF($C$4:$C$802,C199,$D$4:$D$802)</x:f>
        <x:v>0.03279587845251157</x:v>
      </x:c>
      <x:c r="J199" s="103" t="n">
        <x:f>(D199/SUMIF($A$4:$A$802,A199,$D$4:$D$802))/(SUMIF($C$4:$C$802,C199,$D$4:$D$802)/SUM($D$4:$D$802))</x:f>
        <x:v>0.9256037059784232</x:v>
      </x:c>
    </x:row>
    <x:row r="200">
      <x:c r="A200" s="101" t="str">
        <x:v>千葉県</x:v>
      </x:c>
      <x:c r="B200" s="101" t="str">
        <x:v>K</x:v>
      </x:c>
      <x:c r="C200" s="101" t="str">
        <x:v>不動産業，物品賃貸業</x:v>
      </x:c>
      <x:c r="D200" s="102" t="n">
        <x:v>13083</x:v>
      </x:c>
      <x:c r="E200" s="102" t="n">
        <x:f>1+COUNTIFS($C$4:$C$802,C200,$D$4:$D$802,"&gt;"&amp;D200)</x:f>
        <x:v>9</x:v>
      </x:c>
      <x:c r="F200" s="102" t="n">
        <x:v>6284480</x:v>
      </x:c>
      <x:c r="G200" s="126" t="n">
        <x:f>D200/F200*100000</x:f>
        <x:v>208.17951525026731</x:v>
      </x:c>
      <x:c r="H200" s="127" t="n">
        <x:f>1+COUNTIFS($C$4:$C$802,C200,$G$4:$G$802,"&gt;"&amp;G200)</x:f>
        <x:v>39</x:v>
      </x:c>
      <x:c r="I200" s="128" t="n">
        <x:f>D200/SUMIF($C$4:$C$802,C200,$D$4:$D$802)</x:f>
        <x:v>0.03493868438481424</x:v>
      </x:c>
      <x:c r="J200" s="103" t="n">
        <x:f>(D200/SUMIF($A$4:$A$802,A200,$D$4:$D$802))/(SUMIF($C$4:$C$802,C200,$D$4:$D$802)/SUM($D$4:$D$802))</x:f>
        <x:v>0.9860804855531446</x:v>
      </x:c>
    </x:row>
    <x:row r="201">
      <x:c r="A201" s="101" t="str">
        <x:v>千葉県</x:v>
      </x:c>
      <x:c r="B201" s="101" t="str">
        <x:v>L</x:v>
      </x:c>
      <x:c r="C201" s="101" t="str">
        <x:v>学術研究，専門・技術サービス業</x:v>
      </x:c>
      <x:c r="D201" s="102" t="n">
        <x:v>8008</x:v>
      </x:c>
      <x:c r="E201" s="102" t="n">
        <x:f>1+COUNTIFS($C$4:$C$802,C201,$D$4:$D$802,"&gt;"&amp;D201)</x:f>
        <x:v>9</x:v>
      </x:c>
      <x:c r="F201" s="102" t="n">
        <x:v>6284480</x:v>
      </x:c>
      <x:c r="G201" s="126" t="n">
        <x:f>D201/F201*100000</x:f>
        <x:v>127.42502164061307</x:v>
      </x:c>
      <x:c r="H201" s="127" t="n">
        <x:f>1+COUNTIFS($C$4:$C$802,C201,$G$4:$G$802,"&gt;"&amp;G201)</x:f>
        <x:v>47</x:v>
      </x:c>
      <x:c r="I201" s="128" t="n">
        <x:f>D201/SUMIF($C$4:$C$802,C201,$D$4:$D$802)</x:f>
        <x:v>0.03173496076721883</x:v>
      </x:c>
      <x:c r="J201" s="103" t="n">
        <x:f>(D201/SUMIF($A$4:$A$802,A201,$D$4:$D$802))/(SUMIF($C$4:$C$802,C201,$D$4:$D$802)/SUM($D$4:$D$802))</x:f>
        <x:v>0.8956612440722137</x:v>
      </x:c>
    </x:row>
    <x:row r="202">
      <x:c r="A202" s="101" t="str">
        <x:v>千葉県</x:v>
      </x:c>
      <x:c r="B202" s="101" t="str">
        <x:v>M</x:v>
      </x:c>
      <x:c r="C202" s="101" t="str">
        <x:v>宿泊業，飲食サービス業</x:v>
      </x:c>
      <x:c r="D202" s="102" t="n">
        <x:v>20661</x:v>
      </x:c>
      <x:c r="E202" s="102" t="n">
        <x:f>1+COUNTIFS($C$4:$C$802,C202,$D$4:$D$802,"&gt;"&amp;D202)</x:f>
        <x:v>9</x:v>
      </x:c>
      <x:c r="F202" s="102" t="n">
        <x:v>6284480</x:v>
      </x:c>
      <x:c r="G202" s="126" t="n">
        <x:f>D202/F202*100000</x:f>
        <x:v>328.762284230358</x:v>
      </x:c>
      <x:c r="H202" s="127" t="n">
        <x:f>1+COUNTIFS($C$4:$C$802,C202,$G$4:$G$802,"&gt;"&amp;G202)</x:f>
        <x:v>46</x:v>
      </x:c>
      <x:c r="I202" s="128" t="n">
        <x:f>D202/SUMIF($C$4:$C$802,C202,$D$4:$D$802)</x:f>
        <x:v>0.03448914796230081</x:v>
      </x:c>
      <x:c r="J202" s="103" t="n">
        <x:f>(D202/SUMIF($A$4:$A$802,A202,$D$4:$D$802))/(SUMIF($C$4:$C$802,C202,$D$4:$D$802)/SUM($D$4:$D$802))</x:f>
        <x:v>0.9733931419513195</x:v>
      </x:c>
    </x:row>
    <x:row r="203">
      <x:c r="A203" s="101" t="str">
        <x:v>千葉県</x:v>
      </x:c>
      <x:c r="B203" s="101" t="str">
        <x:v>N</x:v>
      </x:c>
      <x:c r="C203" s="101" t="str">
        <x:v>生活関連サービス業，娯楽業</x:v>
      </x:c>
      <x:c r="D203" s="102" t="n">
        <x:v>17538</x:v>
      </x:c>
      <x:c r="E203" s="102" t="n">
        <x:f>1+COUNTIFS($C$4:$C$802,C203,$D$4:$D$802,"&gt;"&amp;D203)</x:f>
        <x:v>7</x:v>
      </x:c>
      <x:c r="F203" s="102" t="n">
        <x:v>6284480</x:v>
      </x:c>
      <x:c r="G203" s="126" t="n">
        <x:f>D203/F203*100000</x:f>
        <x:v>279.0684352563776</x:v>
      </x:c>
      <x:c r="H203" s="127" t="n">
        <x:f>1+COUNTIFS($C$4:$C$802,C203,$G$4:$G$802,"&gt;"&amp;G203)</x:f>
        <x:v>45</x:v>
      </x:c>
      <x:c r="I203" s="128" t="n">
        <x:f>D203/SUMIF($C$4:$C$802,C203,$D$4:$D$802)</x:f>
        <x:v>0.04039068743393159</x:v>
      </x:c>
      <x:c r="J203" s="103" t="n">
        <x:f>(D203/SUMIF($A$4:$A$802,A203,$D$4:$D$802))/(SUMIF($C$4:$C$802,C203,$D$4:$D$802)/SUM($D$4:$D$802))</x:f>
        <x:v>1.1399533032785751</x:v>
      </x:c>
    </x:row>
    <x:row r="204">
      <x:c r="A204" s="101" t="str">
        <x:v>千葉県</x:v>
      </x:c>
      <x:c r="B204" s="101" t="str">
        <x:v>O</x:v>
      </x:c>
      <x:c r="C204" s="101" t="str">
        <x:v>教育，学習支援業</x:v>
      </x:c>
      <x:c r="D204" s="102" t="n">
        <x:v>6595</x:v>
      </x:c>
      <x:c r="E204" s="102" t="n">
        <x:f>1+COUNTIFS($C$4:$C$802,C204,$D$4:$D$802,"&gt;"&amp;D204)</x:f>
        <x:v>7</x:v>
      </x:c>
      <x:c r="F204" s="102" t="n">
        <x:v>6284480</x:v>
      </x:c>
      <x:c r="G204" s="126" t="n">
        <x:f>D204/F204*100000</x:f>
        <x:v>104.94106115382658</x:v>
      </x:c>
      <x:c r="H204" s="127" t="n">
        <x:f>1+COUNTIFS($C$4:$C$802,C204,$G$4:$G$802,"&gt;"&amp;G204)</x:f>
        <x:v>46</x:v>
      </x:c>
      <x:c r="I204" s="128" t="n">
        <x:f>D204/SUMIF($C$4:$C$802,C204,$D$4:$D$802)</x:f>
        <x:v>0.04037170124328924</x:v>
      </x:c>
      <x:c r="J204" s="103" t="n">
        <x:f>(D204/SUMIF($A$4:$A$802,A204,$D$4:$D$802))/(SUMIF($C$4:$C$802,C204,$D$4:$D$802)/SUM($D$4:$D$802))</x:f>
        <x:v>1.139417452761675</x:v>
      </x:c>
    </x:row>
    <x:row r="205">
      <x:c r="A205" s="101" t="str">
        <x:v>千葉県</x:v>
      </x:c>
      <x:c r="B205" s="101" t="str">
        <x:v>P</x:v>
      </x:c>
      <x:c r="C205" s="101" t="str">
        <x:v>医療，福祉</x:v>
      </x:c>
      <x:c r="D205" s="102" t="n">
        <x:v>18106</x:v>
      </x:c>
      <x:c r="E205" s="102" t="n">
        <x:f>1+COUNTIFS($C$4:$C$802,C205,$D$4:$D$802,"&gt;"&amp;D205)</x:f>
        <x:v>9</x:v>
      </x:c>
      <x:c r="F205" s="102" t="n">
        <x:v>6284480</x:v>
      </x:c>
      <x:c r="G205" s="126" t="n">
        <x:f>D205/F205*100000</x:f>
        <x:v>288.1065736544631</x:v>
      </x:c>
      <x:c r="H205" s="127" t="n">
        <x:f>1+COUNTIFS($C$4:$C$802,C205,$G$4:$G$802,"&gt;"&amp;G205)</x:f>
        <x:v>46</x:v>
      </x:c>
      <x:c r="I205" s="128" t="n">
        <x:f>D205/SUMIF($C$4:$C$802,C205,$D$4:$D$802)</x:f>
        <x:v>0.03914548430267377</x:v>
      </x:c>
      <x:c r="J205" s="103" t="n">
        <x:f>(D205/SUMIF($A$4:$A$802,A205,$D$4:$D$802))/(SUMIF($C$4:$C$802,C205,$D$4:$D$802)/SUM($D$4:$D$802))</x:f>
        <x:v>1.1048097216039117</x:v>
      </x:c>
    </x:row>
    <x:row r="206">
      <x:c r="A206" s="101" t="str">
        <x:v>千葉県</x:v>
      </x:c>
      <x:c r="B206" s="101" t="str">
        <x:v>Q</x:v>
      </x:c>
      <x:c r="C206" s="101" t="str">
        <x:v>複合サービス事業</x:v>
      </x:c>
      <x:c r="D206" s="102" t="n">
        <x:v>946</x:v>
      </x:c>
      <x:c r="E206" s="102" t="n">
        <x:f>1+COUNTIFS($C$4:$C$802,C206,$D$4:$D$802,"&gt;"&amp;D206)</x:f>
        <x:v>9</x:v>
      </x:c>
      <x:c r="F206" s="102" t="n">
        <x:v>6284480</x:v>
      </x:c>
      <x:c r="G206" s="126" t="n">
        <x:f>D206/F206*100000</x:f>
        <x:v>15.052955853149346</x:v>
      </x:c>
      <x:c r="H206" s="127" t="n">
        <x:f>1+COUNTIFS($C$4:$C$802,C206,$G$4:$G$802,"&gt;"&amp;G206)</x:f>
        <x:v>44</x:v>
      </x:c>
      <x:c r="I206" s="128" t="n">
        <x:f>D206/SUMIF($C$4:$C$802,C206,$D$4:$D$802)</x:f>
        <x:v>0.029441971927422116</x:v>
      </x:c>
      <x:c r="J206" s="103" t="n">
        <x:f>(D206/SUMIF($A$4:$A$802,A206,$D$4:$D$802))/(SUMIF($C$4:$C$802,C206,$D$4:$D$802)/SUM($D$4:$D$802))</x:f>
        <x:v>0.8309458265249678</x:v>
      </x:c>
    </x:row>
    <x:row r="207">
      <x:c r="A207" s="101" t="str">
        <x:v>千葉県</x:v>
      </x:c>
      <x:c r="B207" s="101" t="str">
        <x:v>R</x:v>
      </x:c>
      <x:c r="C207" s="101" t="str">
        <x:v>サービス業（他に分類されないもの）</x:v>
      </x:c>
      <x:c r="D207" s="102" t="n">
        <x:v>12389</x:v>
      </x:c>
      <x:c r="E207" s="102" t="n">
        <x:f>1+COUNTIFS($C$4:$C$802,C207,$D$4:$D$802,"&gt;"&amp;D207)</x:f>
        <x:v>9</x:v>
      </x:c>
      <x:c r="F207" s="102" t="n">
        <x:v>6284480</x:v>
      </x:c>
      <x:c r="G207" s="126" t="n">
        <x:f>D207/F207*100000</x:f>
        <x:v>197.13643770049393</x:v>
      </x:c>
      <x:c r="H207" s="127" t="n">
        <x:f>1+COUNTIFS($C$4:$C$802,C207,$G$4:$G$802,"&gt;"&amp;G207)</x:f>
        <x:v>45</x:v>
      </x:c>
      <x:c r="I207" s="128" t="n">
        <x:f>D207/SUMIF($C$4:$C$802,C207,$D$4:$D$802)</x:f>
        <x:v>0.03355524739174241</x:v>
      </x:c>
      <x:c r="J207" s="103" t="n">
        <x:f>(D207/SUMIF($A$4:$A$802,A207,$D$4:$D$802))/(SUMIF($C$4:$C$802,C207,$D$4:$D$802)/SUM($D$4:$D$802))</x:f>
        <x:v>0.9470355058728747</x:v>
      </x:c>
    </x:row>
    <x:row r="208">
      <x:c r="A208" s="101" t="str">
        <x:v>東京都</x:v>
      </x:c>
      <x:c r="B208" s="101" t="str">
        <x:v>AB</x:v>
      </x:c>
      <x:c r="C208" s="101" t="str">
        <x:v>農林漁業</x:v>
      </x:c>
      <x:c r="D208" s="102" t="n">
        <x:v>595</x:v>
      </x:c>
      <x:c r="E208" s="102" t="n">
        <x:f>1+COUNTIFS($C$4:$C$802,C208,$D$4:$D$802,"&gt;"&amp;D208)</x:f>
        <x:v>35</x:v>
      </x:c>
      <x:c r="F208" s="102" t="n">
        <x:v>14047594</x:v>
      </x:c>
      <x:c r="G208" s="126" t="n">
        <x:f>D208/F208*100000</x:f>
        <x:v>4.23560077263053</x:v>
      </x:c>
      <x:c r="H208" s="127" t="n">
        <x:f>1+COUNTIFS($C$4:$C$802,C208,$G$4:$G$802,"&gt;"&amp;G208)</x:f>
        <x:v>46</x:v>
      </x:c>
      <x:c r="I208" s="128" t="n">
        <x:f>D208/SUMIF($C$4:$C$802,C208,$D$4:$D$802)</x:f>
        <x:v>0.014013848980168638</x:v>
      </x:c>
      <x:c r="J208" s="103" t="n">
        <x:f>(D208/SUMIF($A$4:$A$802,A208,$D$4:$D$802))/(SUMIF($C$4:$C$802,C208,$D$4:$D$802)/SUM($D$4:$D$802))</x:f>
        <x:v>0.11501401252427063</x:v>
      </x:c>
    </x:row>
    <x:row r="209">
      <x:c r="A209" s="101" t="str">
        <x:v>東京都</x:v>
      </x:c>
      <x:c r="B209" s="101" t="str">
        <x:v>C</x:v>
      </x:c>
      <x:c r="C209" s="101" t="str">
        <x:v>鉱業，採石業，砂利採取業</x:v>
      </x:c>
      <x:c r="D209" s="102" t="n">
        <x:v>58</x:v>
      </x:c>
      <x:c r="E209" s="102" t="n">
        <x:f>1+COUNTIFS($C$4:$C$802,C209,$D$4:$D$802,"&gt;"&amp;D209)</x:f>
        <x:v>11</x:v>
      </x:c>
      <x:c r="F209" s="102" t="n">
        <x:v>14047594</x:v>
      </x:c>
      <x:c r="G209" s="126" t="n">
        <x:f>D209/F209*100000</x:f>
        <x:v>0.41288209212196764</x:v>
      </x:c>
      <x:c r="H209" s="127" t="n">
        <x:f>1+COUNTIFS($C$4:$C$802,C209,$G$4:$G$802,"&gt;"&amp;G209)</x:f>
        <x:v>45</x:v>
      </x:c>
      <x:c r="I209" s="128" t="n">
        <x:f>D209/SUMIF($C$4:$C$802,C209,$D$4:$D$802)</x:f>
        <x:v>0.031099195710455763</x:v>
      </x:c>
      <x:c r="J209" s="103" t="n">
        <x:f>(D209/SUMIF($A$4:$A$802,A209,$D$4:$D$802))/(SUMIF($C$4:$C$802,C209,$D$4:$D$802)/SUM($D$4:$D$802))</x:f>
        <x:v>0.25523632301152854</x:v>
      </x:c>
    </x:row>
    <x:row r="210">
      <x:c r="A210" s="101" t="str">
        <x:v>東京都</x:v>
      </x:c>
      <x:c r="B210" s="101" t="str">
        <x:v>D</x:v>
      </x:c>
      <x:c r="C210" s="101" t="str">
        <x:v>建設業</x:v>
      </x:c>
      <x:c r="D210" s="102" t="n">
        <x:v>41348</x:v>
      </x:c>
      <x:c r="E210" s="102" t="n">
        <x:f>1+COUNTIFS($C$4:$C$802,C210,$D$4:$D$802,"&gt;"&amp;D210)</x:f>
        <x:v>1</x:v>
      </x:c>
      <x:c r="F210" s="102" t="n">
        <x:v>14047594</x:v>
      </x:c>
      <x:c r="G210" s="126" t="n">
        <x:f>D210/F210*100000</x:f>
        <x:v>294.3422197423986</x:v>
      </x:c>
      <x:c r="H210" s="127" t="n">
        <x:f>1+COUNTIFS($C$4:$C$802,C210,$G$4:$G$802,"&gt;"&amp;G210)</x:f>
        <x:v>46</x:v>
      </x:c>
      <x:c r="I210" s="128" t="n">
        <x:f>D210/SUMIF($C$4:$C$802,C210,$D$4:$D$802)</x:f>
        <x:v>0.08522988446514887</x:v>
      </x:c>
      <x:c r="J210" s="103" t="n">
        <x:f>(D210/SUMIF($A$4:$A$802,A210,$D$4:$D$802))/(SUMIF($C$4:$C$802,C210,$D$4:$D$802)/SUM($D$4:$D$802))</x:f>
        <x:v>0.6994959780991452</x:v>
      </x:c>
    </x:row>
    <x:row r="211">
      <x:c r="A211" s="101" t="str">
        <x:v>東京都</x:v>
      </x:c>
      <x:c r="B211" s="101" t="str">
        <x:v>E</x:v>
      </x:c>
      <x:c r="C211" s="101" t="str">
        <x:v>製造業</x:v>
      </x:c>
      <x:c r="D211" s="102" t="n">
        <x:v>38766</x:v>
      </x:c>
      <x:c r="E211" s="102" t="n">
        <x:f>1+COUNTIFS($C$4:$C$802,C211,$D$4:$D$802,"&gt;"&amp;D211)</x:f>
        <x:v>2</x:v>
      </x:c>
      <x:c r="F211" s="102" t="n">
        <x:v>14047594</x:v>
      </x:c>
      <x:c r="G211" s="126" t="n">
        <x:f>D211/F211*100000</x:f>
        <x:v>275.9618479862103</x:v>
      </x:c>
      <x:c r="H211" s="127" t="n">
        <x:f>1+COUNTIFS($C$4:$C$802,C211,$G$4:$G$802,"&gt;"&amp;G211)</x:f>
        <x:v>34</x:v>
      </x:c>
      <x:c r="I211" s="128" t="n">
        <x:f>D211/SUMIF($C$4:$C$802,C211,$D$4:$D$802)</x:f>
        <x:v>0.09395153374679181</x:v>
      </x:c>
      <x:c r="J211" s="103" t="n">
        <x:f>(D211/SUMIF($A$4:$A$802,A211,$D$4:$D$802))/(SUMIF($C$4:$C$802,C211,$D$4:$D$802)/SUM($D$4:$D$802))</x:f>
        <x:v>0.7710760187525523</x:v>
      </x:c>
    </x:row>
    <x:row r="212">
      <x:c r="A212" s="101" t="str">
        <x:v>東京都</x:v>
      </x:c>
      <x:c r="B212" s="101" t="str">
        <x:v>F</x:v>
      </x:c>
      <x:c r="C212" s="101" t="str">
        <x:v>電気・ガス・熱供給・水道業</x:v>
      </x:c>
      <x:c r="D212" s="102" t="n">
        <x:v>941</x:v>
      </x:c>
      <x:c r="E212" s="102" t="n">
        <x:f>1+COUNTIFS($C$4:$C$802,C212,$D$4:$D$802,"&gt;"&amp;D212)</x:f>
        <x:v>1</x:v>
      </x:c>
      <x:c r="F212" s="102" t="n">
        <x:v>14047594</x:v>
      </x:c>
      <x:c r="G212" s="126" t="n">
        <x:f>D212/F212*100000</x:f>
        <x:v>6.698656011840889</x:v>
      </x:c>
      <x:c r="H212" s="127" t="n">
        <x:f>1+COUNTIFS($C$4:$C$802,C212,$G$4:$G$802,"&gt;"&amp;G212)</x:f>
        <x:v>34</x:v>
      </x:c>
      <x:c r="I212" s="128" t="n">
        <x:f>D212/SUMIF($C$4:$C$802,C212,$D$4:$D$802)</x:f>
        <x:v>0.10296531349162928</x:v>
      </x:c>
      <x:c r="J212" s="103" t="n">
        <x:f>(D212/SUMIF($A$4:$A$802,A212,$D$4:$D$802))/(SUMIF($C$4:$C$802,C212,$D$4:$D$802)/SUM($D$4:$D$802))</x:f>
        <x:v>0.8450536231873388</x:v>
      </x:c>
    </x:row>
    <x:row r="213">
      <x:c r="A213" s="101" t="str">
        <x:v>東京都</x:v>
      </x:c>
      <x:c r="B213" s="101" t="str">
        <x:v>G</x:v>
      </x:c>
      <x:c r="C213" s="101" t="str">
        <x:v>情報通信業</x:v>
      </x:c>
      <x:c r="D213" s="102" t="n">
        <x:v>28503</x:v>
      </x:c>
      <x:c r="E213" s="102" t="n">
        <x:f>1+COUNTIFS($C$4:$C$802,C213,$D$4:$D$802,"&gt;"&amp;D213)</x:f>
        <x:v>1</x:v>
      </x:c>
      <x:c r="F213" s="102" t="n">
        <x:v>14047594</x:v>
      </x:c>
      <x:c r="G213" s="126" t="n">
        <x:f>D213/F213*100000</x:f>
        <x:v>202.9030736509042</x:v>
      </x:c>
      <x:c r="H213" s="127" t="n">
        <x:f>1+COUNTIFS($C$4:$C$802,C213,$G$4:$G$802,"&gt;"&amp;G213)</x:f>
        <x:v>1</x:v>
      </x:c>
      <x:c r="I213" s="128" t="n">
        <x:f>D213/SUMIF($C$4:$C$802,C213,$D$4:$D$802)</x:f>
        <x:v>0.372301101111561</x:v>
      </x:c>
      <x:c r="J213" s="103" t="n">
        <x:f>(D213/SUMIF($A$4:$A$802,A213,$D$4:$D$802))/(SUMIF($C$4:$C$802,C213,$D$4:$D$802)/SUM($D$4:$D$802))</x:f>
        <x:v>3.0555376732431108</x:v>
      </x:c>
    </x:row>
    <x:row r="214">
      <x:c r="A214" s="101" t="str">
        <x:v>東京都</x:v>
      </x:c>
      <x:c r="B214" s="101" t="str">
        <x:v>H</x:v>
      </x:c>
      <x:c r="C214" s="101" t="str">
        <x:v>運輸業，郵便業</x:v>
      </x:c>
      <x:c r="D214" s="102" t="n">
        <x:v>13330</x:v>
      </x:c>
      <x:c r="E214" s="102" t="n">
        <x:f>1+COUNTIFS($C$4:$C$802,C214,$D$4:$D$802,"&gt;"&amp;D214)</x:f>
        <x:v>1</x:v>
      </x:c>
      <x:c r="F214" s="102" t="n">
        <x:v>14047594</x:v>
      </x:c>
      <x:c r="G214" s="126" t="n">
        <x:f>D214/F214*100000</x:f>
        <x:v>94.89169462044534</x:v>
      </x:c>
      <x:c r="H214" s="127" t="n">
        <x:f>1+COUNTIFS($C$4:$C$802,C214,$G$4:$G$802,"&gt;"&amp;G214)</x:f>
        <x:v>35</x:v>
      </x:c>
      <x:c r="I214" s="128" t="n">
        <x:f>D214/SUMIF($C$4:$C$802,C214,$D$4:$D$802)</x:f>
        <x:v>0.10395869727976043</x:v>
      </x:c>
      <x:c r="J214" s="103" t="n">
        <x:f>(D214/SUMIF($A$4:$A$802,A214,$D$4:$D$802))/(SUMIF($C$4:$C$802,C214,$D$4:$D$802)/SUM($D$4:$D$802))</x:f>
        <x:v>0.8532064907978864</x:v>
      </x:c>
    </x:row>
    <x:row r="215">
      <x:c r="A215" s="101" t="str">
        <x:v>東京都</x:v>
      </x:c>
      <x:c r="B215" s="101" t="str">
        <x:v>I</x:v>
      </x:c>
      <x:c r="C215" s="101" t="str">
        <x:v>卸売業，小売業</x:v>
      </x:c>
      <x:c r="D215" s="102" t="n">
        <x:v>141055</x:v>
      </x:c>
      <x:c r="E215" s="102" t="n">
        <x:f>1+COUNTIFS($C$4:$C$802,C215,$D$4:$D$802,"&gt;"&amp;D215)</x:f>
        <x:v>1</x:v>
      </x:c>
      <x:c r="F215" s="102" t="n">
        <x:v>14047594</x:v>
      </x:c>
      <x:c r="G215" s="126" t="n">
        <x:f>D215/F215*100000</x:f>
        <x:v>1004.1221293838646</x:v>
      </x:c>
      <x:c r="H215" s="127" t="n">
        <x:f>1+COUNTIFS($C$4:$C$802,C215,$G$4:$G$802,"&gt;"&amp;G215)</x:f>
        <x:v>36</x:v>
      </x:c>
      <x:c r="I215" s="128" t="n">
        <x:f>D215/SUMIF($C$4:$C$802,C215,$D$4:$D$802)</x:f>
        <x:v>0.11477964391498226</x:v>
      </x:c>
      <x:c r="J215" s="103" t="n">
        <x:f>(D215/SUMIF($A$4:$A$802,A215,$D$4:$D$802))/(SUMIF($C$4:$C$802,C215,$D$4:$D$802)/SUM($D$4:$D$802))</x:f>
        <x:v>0.9420158174567563</x:v>
      </x:c>
    </x:row>
    <x:row r="216">
      <x:c r="A216" s="101" t="str">
        <x:v>東京都</x:v>
      </x:c>
      <x:c r="B216" s="101" t="str">
        <x:v>J</x:v>
      </x:c>
      <x:c r="C216" s="101" t="str">
        <x:v>金融業，保険業</x:v>
      </x:c>
      <x:c r="D216" s="102" t="n">
        <x:v>12049</x:v>
      </x:c>
      <x:c r="E216" s="102" t="n">
        <x:f>1+COUNTIFS($C$4:$C$802,C216,$D$4:$D$802,"&gt;"&amp;D216)</x:f>
        <x:v>1</x:v>
      </x:c>
      <x:c r="F216" s="102" t="n">
        <x:v>14047594</x:v>
      </x:c>
      <x:c r="G216" s="126" t="n">
        <x:f>D216/F216*100000</x:f>
        <x:v>85.77269530995841</x:v>
      </x:c>
      <x:c r="H216" s="127" t="n">
        <x:f>1+COUNTIFS($C$4:$C$802,C216,$G$4:$G$802,"&gt;"&amp;G216)</x:f>
        <x:v>5</x:v>
      </x:c>
      <x:c r="I216" s="128" t="n">
        <x:f>D216/SUMIF($C$4:$C$802,C216,$D$4:$D$802)</x:f>
        <x:v>0.14369365071793158</x:v>
      </x:c>
      <x:c r="J216" s="103" t="n">
        <x:f>(D216/SUMIF($A$4:$A$802,A216,$D$4:$D$802))/(SUMIF($C$4:$C$802,C216,$D$4:$D$802)/SUM($D$4:$D$802))</x:f>
        <x:v>1.1793179280523027</x:v>
      </x:c>
    </x:row>
    <x:row r="217">
      <x:c r="A217" s="101" t="str">
        <x:v>東京都</x:v>
      </x:c>
      <x:c r="B217" s="101" t="str">
        <x:v>K</x:v>
      </x:c>
      <x:c r="C217" s="101" t="str">
        <x:v>不動産業，物品賃貸業</x:v>
      </x:c>
      <x:c r="D217" s="102" t="n">
        <x:v>64271</x:v>
      </x:c>
      <x:c r="E217" s="102" t="n">
        <x:f>1+COUNTIFS($C$4:$C$802,C217,$D$4:$D$802,"&gt;"&amp;D217)</x:f>
        <x:v>1</x:v>
      </x:c>
      <x:c r="F217" s="102" t="n">
        <x:v>14047594</x:v>
      </x:c>
      <x:c r="G217" s="126" t="n">
        <x:f>D217/F217*100000</x:f>
        <x:v>457.5231886684652</x:v>
      </x:c>
      <x:c r="H217" s="127" t="n">
        <x:f>1+COUNTIFS($C$4:$C$802,C217,$G$4:$G$802,"&gt;"&amp;G217)</x:f>
        <x:v>1</x:v>
      </x:c>
      <x:c r="I217" s="128" t="n">
        <x:f>D217/SUMIF($C$4:$C$802,C217,$D$4:$D$802)</x:f>
        <x:v>0.1716383233277074</x:v>
      </x:c>
      <x:c r="J217" s="103" t="n">
        <x:f>(D217/SUMIF($A$4:$A$802,A217,$D$4:$D$802))/(SUMIF($C$4:$C$802,C217,$D$4:$D$802)/SUM($D$4:$D$802))</x:f>
        <x:v>1.4086645501027937</x:v>
      </x:c>
    </x:row>
    <x:row r="218">
      <x:c r="A218" s="101" t="str">
        <x:v>東京都</x:v>
      </x:c>
      <x:c r="B218" s="101" t="str">
        <x:v>L</x:v>
      </x:c>
      <x:c r="C218" s="101" t="str">
        <x:v>学術研究，専門・技術サービス業</x:v>
      </x:c>
      <x:c r="D218" s="102" t="n">
        <x:v>50886</x:v>
      </x:c>
      <x:c r="E218" s="102" t="n">
        <x:f>1+COUNTIFS($C$4:$C$802,C218,$D$4:$D$802,"&gt;"&amp;D218)</x:f>
        <x:v>1</x:v>
      </x:c>
      <x:c r="F218" s="102" t="n">
        <x:v>14047594</x:v>
      </x:c>
      <x:c r="G218" s="126" t="n">
        <x:f>D218/F218*100000</x:f>
        <x:v>362.2399679261801</x:v>
      </x:c>
      <x:c r="H218" s="127" t="n">
        <x:f>1+COUNTIFS($C$4:$C$802,C218,$G$4:$G$802,"&gt;"&amp;G218)</x:f>
        <x:v>1</x:v>
      </x:c>
      <x:c r="I218" s="128" t="n">
        <x:f>D218/SUMIF($C$4:$C$802,C218,$D$4:$D$802)</x:f>
        <x:v>0.2016564952048823</x:v>
      </x:c>
      <x:c r="J218" s="103" t="n">
        <x:f>(D218/SUMIF($A$4:$A$802,A218,$D$4:$D$802))/(SUMIF($C$4:$C$802,C218,$D$4:$D$802)/SUM($D$4:$D$802))</x:f>
        <x:v>1.6550287289320962</x:v>
      </x:c>
    </x:row>
    <x:row r="219">
      <x:c r="A219" s="101" t="str">
        <x:v>東京都</x:v>
      </x:c>
      <x:c r="B219" s="101" t="str">
        <x:v>M</x:v>
      </x:c>
      <x:c r="C219" s="101" t="str">
        <x:v>宿泊業，飲食サービス業</x:v>
      </x:c>
      <x:c r="D219" s="102" t="n">
        <x:v>76127</x:v>
      </x:c>
      <x:c r="E219" s="102" t="n">
        <x:f>1+COUNTIFS($C$4:$C$802,C219,$D$4:$D$802,"&gt;"&amp;D219)</x:f>
        <x:v>1</x:v>
      </x:c>
      <x:c r="F219" s="102" t="n">
        <x:v>14047594</x:v>
      </x:c>
      <x:c r="G219" s="126" t="n">
        <x:f>D219/F219*100000</x:f>
        <x:v>541.921983223604</x:v>
      </x:c>
      <x:c r="H219" s="127" t="n">
        <x:f>1+COUNTIFS($C$4:$C$802,C219,$G$4:$G$802,"&gt;"&amp;G219)</x:f>
        <x:v>14</x:v>
      </x:c>
      <x:c r="I219" s="128" t="n">
        <x:f>D219/SUMIF($C$4:$C$802,C219,$D$4:$D$802)</x:f>
        <x:v>0.12707784555084817</x:v>
      </x:c>
      <x:c r="J219" s="103" t="n">
        <x:f>(D219/SUMIF($A$4:$A$802,A219,$D$4:$D$802))/(SUMIF($C$4:$C$802,C219,$D$4:$D$802)/SUM($D$4:$D$802))</x:f>
        <x:v>1.0429492240444207</x:v>
      </x:c>
    </x:row>
    <x:row r="220">
      <x:c r="A220" s="101" t="str">
        <x:v>東京都</x:v>
      </x:c>
      <x:c r="B220" s="101" t="str">
        <x:v>N</x:v>
      </x:c>
      <x:c r="C220" s="101" t="str">
        <x:v>生活関連サービス業，娯楽業</x:v>
      </x:c>
      <x:c r="D220" s="102" t="n">
        <x:v>43692</x:v>
      </x:c>
      <x:c r="E220" s="102" t="n">
        <x:f>1+COUNTIFS($C$4:$C$802,C220,$D$4:$D$802,"&gt;"&amp;D220)</x:f>
        <x:v>1</x:v>
      </x:c>
      <x:c r="F220" s="102" t="n">
        <x:v>14047594</x:v>
      </x:c>
      <x:c r="G220" s="126" t="n">
        <x:f>D220/F220*100000</x:f>
        <x:v>311.02835118953465</x:v>
      </x:c>
      <x:c r="H220" s="127" t="n">
        <x:f>1+COUNTIFS($C$4:$C$802,C220,$G$4:$G$802,"&gt;"&amp;G220)</x:f>
        <x:v>40</x:v>
      </x:c>
      <x:c r="I220" s="128" t="n">
        <x:f>D220/SUMIF($C$4:$C$802,C220,$D$4:$D$802)</x:f>
        <x:v>0.1006243537098494</x:v>
      </x:c>
      <x:c r="J220" s="103" t="n">
        <x:f>(D220/SUMIF($A$4:$A$802,A220,$D$4:$D$802))/(SUMIF($C$4:$C$802,C220,$D$4:$D$802)/SUM($D$4:$D$802))</x:f>
        <x:v>0.8258409730409402</x:v>
      </x:c>
    </x:row>
    <x:row r="221">
      <x:c r="A221" s="101" t="str">
        <x:v>東京都</x:v>
      </x:c>
      <x:c r="B221" s="101" t="str">
        <x:v>O</x:v>
      </x:c>
      <x:c r="C221" s="101" t="str">
        <x:v>教育，学習支援業</x:v>
      </x:c>
      <x:c r="D221" s="102" t="n">
        <x:v>19434</x:v>
      </x:c>
      <x:c r="E221" s="102" t="n">
        <x:f>1+COUNTIFS($C$4:$C$802,C221,$D$4:$D$802,"&gt;"&amp;D221)</x:f>
        <x:v>1</x:v>
      </x:c>
      <x:c r="F221" s="102" t="n">
        <x:v>14047594</x:v>
      </x:c>
      <x:c r="G221" s="126" t="n">
        <x:f>D221/F221*100000</x:f>
        <x:v>138.34397548790207</x:v>
      </x:c>
      <x:c r="H221" s="127" t="n">
        <x:f>1+COUNTIFS($C$4:$C$802,C221,$G$4:$G$802,"&gt;"&amp;G221)</x:f>
        <x:v>13</x:v>
      </x:c>
      <x:c r="I221" s="128" t="n">
        <x:f>D221/SUMIF($C$4:$C$802,C221,$D$4:$D$802)</x:f>
        <x:v>0.11896643547567598</x:v>
      </x:c>
      <x:c r="J221" s="103" t="n">
        <x:f>(D221/SUMIF($A$4:$A$802,A221,$D$4:$D$802))/(SUMIF($C$4:$C$802,C221,$D$4:$D$802)/SUM($D$4:$D$802))</x:f>
        <x:v>0.9763775190620454</x:v>
      </x:c>
    </x:row>
    <x:row r="222">
      <x:c r="A222" s="101" t="str">
        <x:v>東京都</x:v>
      </x:c>
      <x:c r="B222" s="101" t="str">
        <x:v>P</x:v>
      </x:c>
      <x:c r="C222" s="101" t="str">
        <x:v>医療，福祉</x:v>
      </x:c>
      <x:c r="D222" s="102" t="n">
        <x:v>52683</x:v>
      </x:c>
      <x:c r="E222" s="102" t="n">
        <x:f>1+COUNTIFS($C$4:$C$802,C222,$D$4:$D$802,"&gt;"&amp;D222)</x:f>
        <x:v>1</x:v>
      </x:c>
      <x:c r="F222" s="102" t="n">
        <x:v>14047594</x:v>
      </x:c>
      <x:c r="G222" s="126" t="n">
        <x:f>D222/F222*100000</x:f>
        <x:v>375.03219412520036</x:v>
      </x:c>
      <x:c r="H222" s="127" t="n">
        <x:f>1+COUNTIFS($C$4:$C$802,C222,$G$4:$G$802,"&gt;"&amp;G222)</x:f>
        <x:v>24</x:v>
      </x:c>
      <x:c r="I222" s="128" t="n">
        <x:f>D222/SUMIF($C$4:$C$802,C222,$D$4:$D$802)</x:f>
        <x:v>0.11390155470660344</x:v>
      </x:c>
      <x:c r="J222" s="103" t="n">
        <x:f>(D222/SUMIF($A$4:$A$802,A222,$D$4:$D$802))/(SUMIF($C$4:$C$802,C222,$D$4:$D$802)/SUM($D$4:$D$802))</x:f>
        <x:v>0.9348091918285778</x:v>
      </x:c>
    </x:row>
    <x:row r="223">
      <x:c r="A223" s="101" t="str">
        <x:v>東京都</x:v>
      </x:c>
      <x:c r="B223" s="101" t="str">
        <x:v>Q</x:v>
      </x:c>
      <x:c r="C223" s="101" t="str">
        <x:v>複合サービス事業</x:v>
      </x:c>
      <x:c r="D223" s="102" t="n">
        <x:v>1728</x:v>
      </x:c>
      <x:c r="E223" s="102" t="n">
        <x:f>1+COUNTIFS($C$4:$C$802,C223,$D$4:$D$802,"&gt;"&amp;D223)</x:f>
        <x:v>2</x:v>
      </x:c>
      <x:c r="F223" s="102" t="n">
        <x:v>14047594</x:v>
      </x:c>
      <x:c r="G223" s="126" t="n">
        <x:f>D223/F223*100000</x:f>
        <x:v>12.301038882530348</x:v>
      </x:c>
      <x:c r="H223" s="127" t="n">
        <x:f>1+COUNTIFS($C$4:$C$802,C223,$G$4:$G$802,"&gt;"&amp;G223)</x:f>
        <x:v>45</x:v>
      </x:c>
      <x:c r="I223" s="128" t="n">
        <x:f>D223/SUMIF($C$4:$C$802,C223,$D$4:$D$802)</x:f>
        <x:v>0.05377983878497401</x:v>
      </x:c>
      <x:c r="J223" s="103" t="n">
        <x:f>(D223/SUMIF($A$4:$A$802,A223,$D$4:$D$802))/(SUMIF($C$4:$C$802,C223,$D$4:$D$802)/SUM($D$4:$D$802))</x:f>
        <x:v>0.44138017045291594</x:v>
      </x:c>
    </x:row>
    <x:row r="224">
      <x:c r="A224" s="101" t="str">
        <x:v>東京都</x:v>
      </x:c>
      <x:c r="B224" s="101" t="str">
        <x:v>R</x:v>
      </x:c>
      <x:c r="C224" s="101" t="str">
        <x:v>サービス業（他に分類されないもの）</x:v>
      </x:c>
      <x:c r="D224" s="102" t="n">
        <x:v>42773</x:v>
      </x:c>
      <x:c r="E224" s="102" t="n">
        <x:f>1+COUNTIFS($C$4:$C$802,C224,$D$4:$D$802,"&gt;"&amp;D224)</x:f>
        <x:v>1</x:v>
      </x:c>
      <x:c r="F224" s="102" t="n">
        <x:v>14047594</x:v>
      </x:c>
      <x:c r="G224" s="126" t="n">
        <x:f>D224/F224*100000</x:f>
        <x:v>304.4863056264297</x:v>
      </x:c>
      <x:c r="H224" s="127" t="n">
        <x:f>1+COUNTIFS($C$4:$C$802,C224,$G$4:$G$802,"&gt;"&amp;G224)</x:f>
        <x:v>32</x:v>
      </x:c>
      <x:c r="I224" s="128" t="n">
        <x:f>D224/SUMIF($C$4:$C$802,C224,$D$4:$D$802)</x:f>
        <x:v>0.11584943067939286</x:v>
      </x:c>
      <x:c r="J224" s="103" t="n">
        <x:f>(D224/SUMIF($A$4:$A$802,A224,$D$4:$D$802))/(SUMIF($C$4:$C$802,C224,$D$4:$D$802)/SUM($D$4:$D$802))</x:f>
        <x:v>0.9507957371272437</x:v>
      </x:c>
    </x:row>
    <x:row r="225">
      <x:c r="A225" s="101" t="str">
        <x:v>神奈川県</x:v>
      </x:c>
      <x:c r="B225" s="101" t="str">
        <x:v>AB</x:v>
      </x:c>
      <x:c r="C225" s="101" t="str">
        <x:v>農林漁業</x:v>
      </x:c>
      <x:c r="D225" s="102" t="n">
        <x:v>745</x:v>
      </x:c>
      <x:c r="E225" s="102" t="n">
        <x:f>1+COUNTIFS($C$4:$C$802,C225,$D$4:$D$802,"&gt;"&amp;D225)</x:f>
        <x:v>28</x:v>
      </x:c>
      <x:c r="F225" s="102" t="n">
        <x:v>9237337</x:v>
      </x:c>
      <x:c r="G225" s="126" t="n">
        <x:f>D225/F225*100000</x:f>
        <x:v>8.065094951066525</x:v>
      </x:c>
      <x:c r="H225" s="127" t="n">
        <x:f>1+COUNTIFS($C$4:$C$802,C225,$G$4:$G$802,"&gt;"&amp;G225)</x:f>
        <x:v>45</x:v>
      </x:c>
      <x:c r="I225" s="128" t="n">
        <x:f>D225/SUMIF($C$4:$C$802,C225,$D$4:$D$802)</x:f>
        <x:v>0.017546752084412833</x:v>
      </x:c>
      <x:c r="J225" s="103" t="n">
        <x:f>(D225/SUMIF($A$4:$A$802,A225,$D$4:$D$802))/(SUMIF($C$4:$C$802,C225,$D$4:$D$802)/SUM($D$4:$D$802))</x:f>
        <x:v>0.31708458492110364</x:v>
      </x:c>
    </x:row>
    <x:row r="226">
      <x:c r="A226" s="101" t="str">
        <x:v>神奈川県</x:v>
      </x:c>
      <x:c r="B226" s="101" t="str">
        <x:v>C</x:v>
      </x:c>
      <x:c r="C226" s="101" t="str">
        <x:v>鉱業，採石業，砂利採取業</x:v>
      </x:c>
      <x:c r="D226" s="102" t="n">
        <x:v>21</x:v>
      </x:c>
      <x:c r="E226" s="102" t="n">
        <x:f>1+COUNTIFS($C$4:$C$802,C226,$D$4:$D$802,"&gt;"&amp;D226)</x:f>
        <x:v>36</x:v>
      </x:c>
      <x:c r="F226" s="102" t="n">
        <x:v>9237337</x:v>
      </x:c>
      <x:c r="G226" s="126" t="n">
        <x:f>D226/F226*100000</x:f>
        <x:v>0.2273382469428148</x:v>
      </x:c>
      <x:c r="H226" s="127" t="n">
        <x:f>1+COUNTIFS($C$4:$C$802,C226,$G$4:$G$802,"&gt;"&amp;G226)</x:f>
        <x:v>46</x:v>
      </x:c>
      <x:c r="I226" s="128" t="n">
        <x:f>D226/SUMIF($C$4:$C$802,C226,$D$4:$D$802)</x:f>
        <x:v>0.011260053619302948</x:v>
      </x:c>
      <x:c r="J226" s="103" t="n">
        <x:f>(D226/SUMIF($A$4:$A$802,A226,$D$4:$D$802))/(SUMIF($C$4:$C$802,C226,$D$4:$D$802)/SUM($D$4:$D$802))</x:f>
        <x:v>0.20347865011654787</x:v>
      </x:c>
    </x:row>
    <x:row r="227">
      <x:c r="A227" s="101" t="str">
        <x:v>神奈川県</x:v>
      </x:c>
      <x:c r="B227" s="101" t="str">
        <x:v>D</x:v>
      </x:c>
      <x:c r="C227" s="101" t="str">
        <x:v>建設業</x:v>
      </x:c>
      <x:c r="D227" s="102" t="n">
        <x:v>28997</x:v>
      </x:c>
      <x:c r="E227" s="102" t="n">
        <x:f>1+COUNTIFS($C$4:$C$802,C227,$D$4:$D$802,"&gt;"&amp;D227)</x:f>
        <x:v>2</x:v>
      </x:c>
      <x:c r="F227" s="102" t="n">
        <x:v>9237337</x:v>
      </x:c>
      <x:c r="G227" s="126" t="n">
        <x:f>D227/F227*100000</x:f>
        <x:v>313.91081650480004</x:v>
      </x:c>
      <x:c r="H227" s="127" t="n">
        <x:f>1+COUNTIFS($C$4:$C$802,C227,$G$4:$G$802,"&gt;"&amp;G227)</x:f>
        <x:v>43</x:v>
      </x:c>
      <x:c r="I227" s="128" t="n">
        <x:f>D227/SUMIF($C$4:$C$802,C227,$D$4:$D$802)</x:f>
        <x:v>0.05977099157966339</x:v>
      </x:c>
      <x:c r="J227" s="103" t="n">
        <x:f>(D227/SUMIF($A$4:$A$802,A227,$D$4:$D$802))/(SUMIF($C$4:$C$802,C227,$D$4:$D$802)/SUM($D$4:$D$802))</x:f>
        <x:v>1.0801121463496504</x:v>
      </x:c>
    </x:row>
    <x:row r="228">
      <x:c r="A228" s="101" t="str">
        <x:v>神奈川県</x:v>
      </x:c>
      <x:c r="B228" s="101" t="str">
        <x:v>E</x:v>
      </x:c>
      <x:c r="C228" s="101" t="str">
        <x:v>製造業</x:v>
      </x:c>
      <x:c r="D228" s="102" t="n">
        <x:v>17326</x:v>
      </x:c>
      <x:c r="E228" s="102" t="n">
        <x:f>1+COUNTIFS($C$4:$C$802,C228,$D$4:$D$802,"&gt;"&amp;D228)</x:f>
        <x:v>6</x:v>
      </x:c>
      <x:c r="F228" s="102" t="n">
        <x:v>9237337</x:v>
      </x:c>
      <x:c r="G228" s="126" t="n">
        <x:f>D228/F228*100000</x:f>
        <x:v>187.564879358629</x:v>
      </x:c>
      <x:c r="H228" s="127" t="n">
        <x:f>1+COUNTIFS($C$4:$C$802,C228,$G$4:$G$802,"&gt;"&amp;G228)</x:f>
        <x:v>46</x:v>
      </x:c>
      <x:c r="I228" s="128" t="n">
        <x:f>D228/SUMIF($C$4:$C$802,C228,$D$4:$D$802)</x:f>
        <x:v>0.041990514205667726</x:v>
      </x:c>
      <x:c r="J228" s="103" t="n">
        <x:f>(D228/SUMIF($A$4:$A$802,A228,$D$4:$D$802))/(SUMIF($C$4:$C$802,C228,$D$4:$D$802)/SUM($D$4:$D$802))</x:f>
        <x:v>0.7588039486438894</x:v>
      </x:c>
    </x:row>
    <x:row r="229">
      <x:c r="A229" s="101" t="str">
        <x:v>神奈川県</x:v>
      </x:c>
      <x:c r="B229" s="101" t="str">
        <x:v>F</x:v>
      </x:c>
      <x:c r="C229" s="101" t="str">
        <x:v>電気・ガス・熱供給・水道業</x:v>
      </x:c>
      <x:c r="D229" s="102" t="n">
        <x:v>249</x:v>
      </x:c>
      <x:c r="E229" s="102" t="n">
        <x:f>1+COUNTIFS($C$4:$C$802,C229,$D$4:$D$802,"&gt;"&amp;D229)</x:f>
        <x:v>13</x:v>
      </x:c>
      <x:c r="F229" s="102" t="n">
        <x:v>9237337</x:v>
      </x:c>
      <x:c r="G229" s="126" t="n">
        <x:f>D229/F229*100000</x:f>
        <x:v>2.6955820708933755</x:v>
      </x:c>
      <x:c r="H229" s="127" t="n">
        <x:f>1+COUNTIFS($C$4:$C$802,C229,$G$4:$G$802,"&gt;"&amp;G229)</x:f>
        <x:v>47</x:v>
      </x:c>
      <x:c r="I229" s="128" t="n">
        <x:f>D229/SUMIF($C$4:$C$802,C229,$D$4:$D$802)</x:f>
        <x:v>0.027245869351132507</x:v>
      </x:c>
      <x:c r="J229" s="103" t="n">
        <x:f>(D229/SUMIF($A$4:$A$802,A229,$D$4:$D$802))/(SUMIF($C$4:$C$802,C229,$D$4:$D$802)/SUM($D$4:$D$802))</x:f>
        <x:v>0.49235580080332375</x:v>
      </x:c>
    </x:row>
    <x:row r="230">
      <x:c r="A230" s="101" t="str">
        <x:v>神奈川県</x:v>
      </x:c>
      <x:c r="B230" s="101" t="str">
        <x:v>G</x:v>
      </x:c>
      <x:c r="C230" s="101" t="str">
        <x:v>情報通信業</x:v>
      </x:c>
      <x:c r="D230" s="102" t="n">
        <x:v>4888</x:v>
      </x:c>
      <x:c r="E230" s="102" t="n">
        <x:f>1+COUNTIFS($C$4:$C$802,C230,$D$4:$D$802,"&gt;"&amp;D230)</x:f>
        <x:v>3</x:v>
      </x:c>
      <x:c r="F230" s="102" t="n">
        <x:v>9237337</x:v>
      </x:c>
      <x:c r="G230" s="126" t="n">
        <x:f>D230/F230*100000</x:f>
        <x:v>52.91568338364185</x:v>
      </x:c>
      <x:c r="H230" s="127" t="n">
        <x:f>1+COUNTIFS($C$4:$C$802,C230,$G$4:$G$802,"&gt;"&amp;G230)</x:f>
        <x:v>5</x:v>
      </x:c>
      <x:c r="I230" s="128" t="n">
        <x:f>D230/SUMIF($C$4:$C$802,C230,$D$4:$D$802)</x:f>
        <x:v>0.06384618398881908</x:v>
      </x:c>
      <x:c r="J230" s="103" t="n">
        <x:f>(D230/SUMIF($A$4:$A$802,A230,$D$4:$D$802))/(SUMIF($C$4:$C$802,C230,$D$4:$D$802)/SUM($D$4:$D$802))</x:f>
        <x:v>1.153754304585797</x:v>
      </x:c>
    </x:row>
    <x:row r="231">
      <x:c r="A231" s="101" t="str">
        <x:v>神奈川県</x:v>
      </x:c>
      <x:c r="B231" s="101" t="str">
        <x:v>H</x:v>
      </x:c>
      <x:c r="C231" s="101" t="str">
        <x:v>運輸業，郵便業</x:v>
      </x:c>
      <x:c r="D231" s="102" t="n">
        <x:v>7592</x:v>
      </x:c>
      <x:c r="E231" s="102" t="n">
        <x:f>1+COUNTIFS($C$4:$C$802,C231,$D$4:$D$802,"&gt;"&amp;D231)</x:f>
        <x:v>4</x:v>
      </x:c>
      <x:c r="F231" s="102" t="n">
        <x:v>9237337</x:v>
      </x:c>
      <x:c r="G231" s="126" t="n">
        <x:f>D231/F231*100000</x:f>
        <x:v>82.18818908523095</x:v>
      </x:c>
      <x:c r="H231" s="127" t="n">
        <x:f>1+COUNTIFS($C$4:$C$802,C231,$G$4:$G$802,"&gt;"&amp;G231)</x:f>
        <x:v>46</x:v>
      </x:c>
      <x:c r="I231" s="128" t="n">
        <x:f>D231/SUMIF($C$4:$C$802,C231,$D$4:$D$802)</x:f>
        <x:v>0.059208884452208635</x:v>
      </x:c>
      <x:c r="J231" s="103" t="n">
        <x:f>(D231/SUMIF($A$4:$A$802,A231,$D$4:$D$802))/(SUMIF($C$4:$C$802,C231,$D$4:$D$802)/SUM($D$4:$D$802))</x:f>
        <x:v>1.0699543972498315</x:v>
      </x:c>
    </x:row>
    <x:row r="232">
      <x:c r="A232" s="101" t="str">
        <x:v>神奈川県</x:v>
      </x:c>
      <x:c r="B232" s="101" t="str">
        <x:v>I</x:v>
      </x:c>
      <x:c r="C232" s="101" t="str">
        <x:v>卸売業，小売業</x:v>
      </x:c>
      <x:c r="D232" s="102" t="n">
        <x:v>61012</x:v>
      </x:c>
      <x:c r="E232" s="102" t="n">
        <x:f>1+COUNTIFS($C$4:$C$802,C232,$D$4:$D$802,"&gt;"&amp;D232)</x:f>
        <x:v>4</x:v>
      </x:c>
      <x:c r="F232" s="102" t="n">
        <x:v>9237337</x:v>
      </x:c>
      <x:c r="G232" s="126" t="n">
        <x:f>D232/F232*100000</x:f>
        <x:v>660.4933867845245</x:v>
      </x:c>
      <x:c r="H232" s="127" t="n">
        <x:f>1+COUNTIFS($C$4:$C$802,C232,$G$4:$G$802,"&gt;"&amp;G232)</x:f>
        <x:v>47</x:v>
      </x:c>
      <x:c r="I232" s="128" t="n">
        <x:f>D232/SUMIF($C$4:$C$802,C232,$D$4:$D$802)</x:f>
        <x:v>0.04964684438368649</x:v>
      </x:c>
      <x:c r="J232" s="103" t="n">
        <x:f>(D232/SUMIF($A$4:$A$802,A232,$D$4:$D$802))/(SUMIF($C$4:$C$802,C232,$D$4:$D$802)/SUM($D$4:$D$802))</x:f>
        <x:v>0.8971602817610924</x:v>
      </x:c>
    </x:row>
    <x:row r="233">
      <x:c r="A233" s="101" t="str">
        <x:v>神奈川県</x:v>
      </x:c>
      <x:c r="B233" s="101" t="str">
        <x:v>J</x:v>
      </x:c>
      <x:c r="C233" s="101" t="str">
        <x:v>金融業，保険業</x:v>
      </x:c>
      <x:c r="D233" s="102" t="n">
        <x:v>3757</x:v>
      </x:c>
      <x:c r="E233" s="102" t="n">
        <x:f>1+COUNTIFS($C$4:$C$802,C233,$D$4:$D$802,"&gt;"&amp;D233)</x:f>
        <x:v>5</x:v>
      </x:c>
      <x:c r="F233" s="102" t="n">
        <x:v>9237337</x:v>
      </x:c>
      <x:c r="G233" s="126" t="n">
        <x:f>D233/F233*100000</x:f>
        <x:v>40.67189494115025</x:v>
      </x:c>
      <x:c r="H233" s="127" t="n">
        <x:f>1+COUNTIFS($C$4:$C$802,C233,$G$4:$G$802,"&gt;"&amp;G233)</x:f>
        <x:v>47</x:v>
      </x:c>
      <x:c r="I233" s="128" t="n">
        <x:f>D233/SUMIF($C$4:$C$802,C233,$D$4:$D$802)</x:f>
        <x:v>0.04480513285312217</x:v>
      </x:c>
      <x:c r="J233" s="103" t="n">
        <x:f>(D233/SUMIF($A$4:$A$802,A233,$D$4:$D$802))/(SUMIF($C$4:$C$802,C233,$D$4:$D$802)/SUM($D$4:$D$802))</x:f>
        <x:v>0.8096664775749327</x:v>
      </x:c>
    </x:row>
    <x:row r="234">
      <x:c r="A234" s="101" t="str">
        <x:v>神奈川県</x:v>
      </x:c>
      <x:c r="B234" s="101" t="str">
        <x:v>K</x:v>
      </x:c>
      <x:c r="C234" s="101" t="str">
        <x:v>不動産業，物品賃貸業</x:v>
      </x:c>
      <x:c r="D234" s="102" t="n">
        <x:v>28592</x:v>
      </x:c>
      <x:c r="E234" s="102" t="n">
        <x:f>1+COUNTIFS($C$4:$C$802,C234,$D$4:$D$802,"&gt;"&amp;D234)</x:f>
        <x:v>3</x:v>
      </x:c>
      <x:c r="F234" s="102" t="n">
        <x:v>9237337</x:v>
      </x:c>
      <x:c r="G234" s="126" t="n">
        <x:f>D234/F234*100000</x:f>
        <x:v>309.52643602804574</x:v>
      </x:c>
      <x:c r="H234" s="127" t="n">
        <x:f>1+COUNTIFS($C$4:$C$802,C234,$G$4:$G$802,"&gt;"&amp;G234)</x:f>
        <x:v>9</x:v>
      </x:c>
      <x:c r="I234" s="128" t="n">
        <x:f>D234/SUMIF($C$4:$C$802,C234,$D$4:$D$802)</x:f>
        <x:v>0.0763561005832461</x:v>
      </x:c>
      <x:c r="J234" s="103" t="n">
        <x:f>(D234/SUMIF($A$4:$A$802,A234,$D$4:$D$802))/(SUMIF($C$4:$C$802,C234,$D$4:$D$802)/SUM($D$4:$D$802))</x:f>
        <x:v>1.3798190310752778</x:v>
      </x:c>
    </x:row>
    <x:row r="235">
      <x:c r="A235" s="101" t="str">
        <x:v>神奈川県</x:v>
      </x:c>
      <x:c r="B235" s="101" t="str">
        <x:v>L</x:v>
      </x:c>
      <x:c r="C235" s="101" t="str">
        <x:v>学術研究，専門・技術サービス業</x:v>
      </x:c>
      <x:c r="D235" s="102" t="n">
        <x:v>15377</x:v>
      </x:c>
      <x:c r="E235" s="102" t="n">
        <x:f>1+COUNTIFS($C$4:$C$802,C235,$D$4:$D$802,"&gt;"&amp;D235)</x:f>
        <x:v>3</x:v>
      </x:c>
      <x:c r="F235" s="102" t="n">
        <x:v>9237337</x:v>
      </x:c>
      <x:c r="G235" s="126" t="n">
        <x:f>D235/F235*100000</x:f>
        <x:v>166.46572491617442</x:v>
      </x:c>
      <x:c r="H235" s="127" t="n">
        <x:f>1+COUNTIFS($C$4:$C$802,C235,$G$4:$G$802,"&gt;"&amp;G235)</x:f>
        <x:v>36</x:v>
      </x:c>
      <x:c r="I235" s="128" t="n">
        <x:f>D235/SUMIF($C$4:$C$802,C235,$D$4:$D$802)</x:f>
        <x:v>0.06093762384084965</x:v>
      </x:c>
      <x:c r="J235" s="103" t="n">
        <x:f>(D235/SUMIF($A$4:$A$802,A235,$D$4:$D$802))/(SUMIF($C$4:$C$802,C235,$D$4:$D$802)/SUM($D$4:$D$802))</x:f>
        <x:v>1.1011941736396136</x:v>
      </x:c>
    </x:row>
    <x:row r="236">
      <x:c r="A236" s="101" t="str">
        <x:v>神奈川県</x:v>
      </x:c>
      <x:c r="B236" s="101" t="str">
        <x:v>M</x:v>
      </x:c>
      <x:c r="C236" s="101" t="str">
        <x:v>宿泊業，飲食サービス業</x:v>
      </x:c>
      <x:c r="D236" s="102" t="n">
        <x:v>32933</x:v>
      </x:c>
      <x:c r="E236" s="102" t="n">
        <x:f>1+COUNTIFS($C$4:$C$802,C236,$D$4:$D$802,"&gt;"&amp;D236)</x:f>
        <x:v>4</x:v>
      </x:c>
      <x:c r="F236" s="102" t="n">
        <x:v>9237337</x:v>
      </x:c>
      <x:c r="G236" s="126" t="n">
        <x:f>D236/F236*100000</x:f>
        <x:v>356.52049936036764</x:v>
      </x:c>
      <x:c r="H236" s="127" t="n">
        <x:f>1+COUNTIFS($C$4:$C$802,C236,$G$4:$G$802,"&gt;"&amp;G236)</x:f>
        <x:v>44</x:v>
      </x:c>
      <x:c r="I236" s="128" t="n">
        <x:f>D236/SUMIF($C$4:$C$802,C236,$D$4:$D$802)</x:f>
        <x:v>0.05497464352366549</x:v>
      </x:c>
      <x:c r="J236" s="103" t="n">
        <x:f>(D236/SUMIF($A$4:$A$802,A236,$D$4:$D$802))/(SUMIF($C$4:$C$802,C236,$D$4:$D$802)/SUM($D$4:$D$802))</x:f>
        <x:v>0.9934380983459608</x:v>
      </x:c>
    </x:row>
    <x:row r="237">
      <x:c r="A237" s="101" t="str">
        <x:v>神奈川県</x:v>
      </x:c>
      <x:c r="B237" s="101" t="str">
        <x:v>N</x:v>
      </x:c>
      <x:c r="C237" s="101" t="str">
        <x:v>生活関連サービス業，娯楽業</x:v>
      </x:c>
      <x:c r="D237" s="102" t="n">
        <x:v>22950</x:v>
      </x:c>
      <x:c r="E237" s="102" t="n">
        <x:f>1+COUNTIFS($C$4:$C$802,C237,$D$4:$D$802,"&gt;"&amp;D237)</x:f>
        <x:v>4</x:v>
      </x:c>
      <x:c r="F237" s="102" t="n">
        <x:v>9237337</x:v>
      </x:c>
      <x:c r="G237" s="126" t="n">
        <x:f>D237/F237*100000</x:f>
        <x:v>248.4482270160762</x:v>
      </x:c>
      <x:c r="H237" s="127" t="n">
        <x:f>1+COUNTIFS($C$4:$C$802,C237,$G$4:$G$802,"&gt;"&amp;G237)</x:f>
        <x:v>47</x:v>
      </x:c>
      <x:c r="I237" s="128" t="n">
        <x:f>D237/SUMIF($C$4:$C$802,C237,$D$4:$D$802)</x:f>
        <x:v>0.05285473124693408</x:v>
      </x:c>
      <x:c r="J237" s="103" t="n">
        <x:f>(D237/SUMIF($A$4:$A$802,A237,$D$4:$D$802))/(SUMIF($C$4:$C$802,C237,$D$4:$D$802)/SUM($D$4:$D$802))</x:f>
        <x:v>0.9551294984921078</x:v>
      </x:c>
    </x:row>
    <x:row r="238">
      <x:c r="A238" s="101" t="str">
        <x:v>神奈川県</x:v>
      </x:c>
      <x:c r="B238" s="101" t="str">
        <x:v>O</x:v>
      </x:c>
      <x:c r="C238" s="101" t="str">
        <x:v>教育，学習支援業</x:v>
      </x:c>
      <x:c r="D238" s="102" t="n">
        <x:v>11092</x:v>
      </x:c>
      <x:c r="E238" s="102" t="n">
        <x:f>1+COUNTIFS($C$4:$C$802,C238,$D$4:$D$802,"&gt;"&amp;D238)</x:f>
        <x:v>4</x:v>
      </x:c>
      <x:c r="F238" s="102" t="n">
        <x:v>9237337</x:v>
      </x:c>
      <x:c r="G238" s="126" t="n">
        <x:f>D238/F238*100000</x:f>
        <x:v>120.07789690903343</x:v>
      </x:c>
      <x:c r="H238" s="127" t="n">
        <x:f>1+COUNTIFS($C$4:$C$802,C238,$G$4:$G$802,"&gt;"&amp;G238)</x:f>
        <x:v>36</x:v>
      </x:c>
      <x:c r="I238" s="128" t="n">
        <x:f>D238/SUMIF($C$4:$C$802,C238,$D$4:$D$802)</x:f>
        <x:v>0.06790036545725008</x:v>
      </x:c>
      <x:c r="J238" s="103" t="n">
        <x:f>(D238/SUMIF($A$4:$A$802,A238,$D$4:$D$802))/(SUMIF($C$4:$C$802,C238,$D$4:$D$802)/SUM($D$4:$D$802))</x:f>
        <x:v>1.2270167774313685</x:v>
      </x:c>
    </x:row>
    <x:row r="239">
      <x:c r="A239" s="101" t="str">
        <x:v>神奈川県</x:v>
      </x:c>
      <x:c r="B239" s="101" t="str">
        <x:v>P</x:v>
      </x:c>
      <x:c r="C239" s="101" t="str">
        <x:v>医療，福祉</x:v>
      </x:c>
      <x:c r="D239" s="102" t="n">
        <x:v>31373</x:v>
      </x:c>
      <x:c r="E239" s="102" t="n">
        <x:f>1+COUNTIFS($C$4:$C$802,C239,$D$4:$D$802,"&gt;"&amp;D239)</x:f>
        <x:v>3</x:v>
      </x:c>
      <x:c r="F239" s="102" t="n">
        <x:v>9237337</x:v>
      </x:c>
      <x:c r="G239" s="126" t="n">
        <x:f>D239/F239*100000</x:f>
        <x:v>339.63251530175853</x:v>
      </x:c>
      <x:c r="H239" s="127" t="n">
        <x:f>1+COUNTIFS($C$4:$C$802,C239,$G$4:$G$802,"&gt;"&amp;G239)</x:f>
        <x:v>39</x:v>
      </x:c>
      <x:c r="I239" s="128" t="n">
        <x:f>D239/SUMIF($C$4:$C$802,C239,$D$4:$D$802)</x:f>
        <x:v>0.06782896713949983</x:v>
      </x:c>
      <x:c r="J239" s="103" t="n">
        <x:f>(D239/SUMIF($A$4:$A$802,A239,$D$4:$D$802))/(SUMIF($C$4:$C$802,C239,$D$4:$D$802)/SUM($D$4:$D$802))</x:f>
        <x:v>1.225726549710649</x:v>
      </x:c>
    </x:row>
    <x:row r="240">
      <x:c r="A240" s="101" t="str">
        <x:v>神奈川県</x:v>
      </x:c>
      <x:c r="B240" s="101" t="str">
        <x:v>Q</x:v>
      </x:c>
      <x:c r="C240" s="101" t="str">
        <x:v>複合サービス事業</x:v>
      </x:c>
      <x:c r="D240" s="102" t="n">
        <x:v>1062</x:v>
      </x:c>
      <x:c r="E240" s="102" t="n">
        <x:f>1+COUNTIFS($C$4:$C$802,C240,$D$4:$D$802,"&gt;"&amp;D240)</x:f>
        <x:v>7</x:v>
      </x:c>
      <x:c r="F240" s="102" t="n">
        <x:v>9237337</x:v>
      </x:c>
      <x:c r="G240" s="126" t="n">
        <x:f>D240/F240*100000</x:f>
        <x:v>11.496819916822348</x:v>
      </x:c>
      <x:c r="H240" s="127" t="n">
        <x:f>1+COUNTIFS($C$4:$C$802,C240,$G$4:$G$802,"&gt;"&amp;G240)</x:f>
        <x:v>47</x:v>
      </x:c>
      <x:c r="I240" s="128" t="n">
        <x:f>D240/SUMIF($C$4:$C$802,C240,$D$4:$D$802)</x:f>
        <x:v>0.03305219258659861</x:v>
      </x:c>
      <x:c r="J240" s="103" t="n">
        <x:f>(D240/SUMIF($A$4:$A$802,A240,$D$4:$D$802))/(SUMIF($C$4:$C$802,C240,$D$4:$D$802)/SUM($D$4:$D$802))</x:f>
        <x:v>0.597280950721582</x:v>
      </x:c>
    </x:row>
    <x:row r="241">
      <x:c r="A241" s="101" t="str">
        <x:v>神奈川県</x:v>
      </x:c>
      <x:c r="B241" s="101" t="str">
        <x:v>R</x:v>
      </x:c>
      <x:c r="C241" s="101" t="str">
        <x:v>サービス業（他に分類されないもの）</x:v>
      </x:c>
      <x:c r="D241" s="102" t="n">
        <x:v>17359</x:v>
      </x:c>
      <x:c r="E241" s="102" t="n">
        <x:f>1+COUNTIFS($C$4:$C$802,C241,$D$4:$D$802,"&gt;"&amp;D241)</x:f>
        <x:v>4</x:v>
      </x:c>
      <x:c r="F241" s="102" t="n">
        <x:v>9237337</x:v>
      </x:c>
      <x:c r="G241" s="126" t="n">
        <x:f>D241/F241*100000</x:f>
        <x:v>187.92212517525343</x:v>
      </x:c>
      <x:c r="H241" s="127" t="n">
        <x:f>1+COUNTIFS($C$4:$C$802,C241,$G$4:$G$802,"&gt;"&amp;G241)</x:f>
        <x:v>47</x:v>
      </x:c>
      <x:c r="I241" s="128" t="n">
        <x:f>D241/SUMIF($C$4:$C$802,C241,$D$4:$D$802)</x:f>
        <x:v>0.04701634833104016</x:v>
      </x:c>
      <x:c r="J241" s="103" t="n">
        <x:f>(D241/SUMIF($A$4:$A$802,A241,$D$4:$D$802))/(SUMIF($C$4:$C$802,C241,$D$4:$D$802)/SUM($D$4:$D$802))</x:f>
        <x:v>0.8496250031535546</x:v>
      </x:c>
    </x:row>
    <x:row r="242">
      <x:c r="A242" s="101" t="str">
        <x:v>新潟県</x:v>
      </x:c>
      <x:c r="B242" s="101" t="str">
        <x:v>AB</x:v>
      </x:c>
      <x:c r="C242" s="101" t="str">
        <x:v>農林漁業</x:v>
      </x:c>
      <x:c r="D242" s="102" t="n">
        <x:v>1469</x:v>
      </x:c>
      <x:c r="E242" s="102" t="n">
        <x:f>1+COUNTIFS($C$4:$C$802,C242,$D$4:$D$802,"&gt;"&amp;D242)</x:f>
        <x:v>3</x:v>
      </x:c>
      <x:c r="F242" s="102" t="n">
        <x:v>2201272</x:v>
      </x:c>
      <x:c r="G242" s="126" t="n">
        <x:f>D242/F242*100000</x:f>
        <x:v>66.73414280470564</x:v>
      </x:c>
      <x:c r="H242" s="127" t="n">
        <x:f>1+COUNTIFS($C$4:$C$802,C242,$G$4:$G$802,"&gt;"&amp;G242)</x:f>
        <x:v>15</x:v>
      </x:c>
      <x:c r="I242" s="128" t="n">
        <x:f>D242/SUMIF($C$4:$C$802,C242,$D$4:$D$802)</x:f>
        <x:v>0.03459889773423148</x:v>
      </x:c>
      <x:c r="J242" s="103" t="n">
        <x:f>(D242/SUMIF($A$4:$A$802,A242,$D$4:$D$802))/(SUMIF($C$4:$C$802,C242,$D$4:$D$802)/SUM($D$4:$D$802))</x:f>
        <x:v>1.717623520361394</x:v>
      </x:c>
    </x:row>
    <x:row r="243">
      <x:c r="A243" s="101" t="str">
        <x:v>新潟県</x:v>
      </x:c>
      <x:c r="B243" s="101" t="str">
        <x:v>C</x:v>
      </x:c>
      <x:c r="C243" s="101" t="str">
        <x:v>鉱業，採石業，砂利採取業</x:v>
      </x:c>
      <x:c r="D243" s="102" t="n">
        <x:v>88</x:v>
      </x:c>
      <x:c r="E243" s="102" t="n">
        <x:f>1+COUNTIFS($C$4:$C$802,C243,$D$4:$D$802,"&gt;"&amp;D243)</x:f>
        <x:v>2</x:v>
      </x:c>
      <x:c r="F243" s="102" t="n">
        <x:v>2201272</x:v>
      </x:c>
      <x:c r="G243" s="126" t="n">
        <x:f>D243/F243*100000</x:f>
        <x:v>3.9976886091314476</x:v>
      </x:c>
      <x:c r="H243" s="127" t="n">
        <x:f>1+COUNTIFS($C$4:$C$802,C243,$G$4:$G$802,"&gt;"&amp;G243)</x:f>
        <x:v>5</x:v>
      </x:c>
      <x:c r="I243" s="128" t="n">
        <x:f>D243/SUMIF($C$4:$C$802,C243,$D$4:$D$802)</x:f>
        <x:v>0.04718498659517426</x:v>
      </x:c>
      <x:c r="J243" s="103" t="n">
        <x:f>(D243/SUMIF($A$4:$A$802,A243,$D$4:$D$802))/(SUMIF($C$4:$C$802,C243,$D$4:$D$802)/SUM($D$4:$D$802))</x:f>
        <x:v>2.3424458029373296</x:v>
      </x:c>
    </x:row>
    <x:row r="244">
      <x:c r="A244" s="101" t="str">
        <x:v>新潟県</x:v>
      </x:c>
      <x:c r="B244" s="101" t="str">
        <x:v>D</x:v>
      </x:c>
      <x:c r="C244" s="101" t="str">
        <x:v>建設業</x:v>
      </x:c>
      <x:c r="D244" s="102" t="n">
        <x:v>12326</x:v>
      </x:c>
      <x:c r="E244" s="102" t="n">
        <x:f>1+COUNTIFS($C$4:$C$802,C244,$D$4:$D$802,"&gt;"&amp;D244)</x:f>
        <x:v>12</x:v>
      </x:c>
      <x:c r="F244" s="102" t="n">
        <x:v>2201272</x:v>
      </x:c>
      <x:c r="G244" s="126" t="n">
        <x:f>D244/F244*100000</x:f>
        <x:v>559.948974956298</x:v>
      </x:c>
      <x:c r="H244" s="127" t="n">
        <x:f>1+COUNTIFS($C$4:$C$802,C244,$G$4:$G$802,"&gt;"&amp;G244)</x:f>
        <x:v>2</x:v>
      </x:c>
      <x:c r="I244" s="128" t="n">
        <x:f>D244/SUMIF($C$4:$C$802,C244,$D$4:$D$802)</x:f>
        <x:v>0.025407360837704968</x:v>
      </x:c>
      <x:c r="J244" s="103" t="n">
        <x:f>(D244/SUMIF($A$4:$A$802,A244,$D$4:$D$802))/(SUMIF($C$4:$C$802,C244,$D$4:$D$802)/SUM($D$4:$D$802))</x:f>
        <x:v>1.2613199674848075</x:v>
      </x:c>
    </x:row>
    <x:row r="245">
      <x:c r="A245" s="101" t="str">
        <x:v>新潟県</x:v>
      </x:c>
      <x:c r="B245" s="101" t="str">
        <x:v>E</x:v>
      </x:c>
      <x:c r="C245" s="101" t="str">
        <x:v>製造業</x:v>
      </x:c>
      <x:c r="D245" s="102" t="n">
        <x:v>10138</x:v>
      </x:c>
      <x:c r="E245" s="102" t="n">
        <x:f>1+COUNTIFS($C$4:$C$802,C245,$D$4:$D$802,"&gt;"&amp;D245)</x:f>
        <x:v>13</x:v>
      </x:c>
      <x:c r="F245" s="102" t="n">
        <x:v>2201272</x:v>
      </x:c>
      <x:c r="G245" s="126" t="n">
        <x:f>D245/F245*100000</x:f>
        <x:v>460.5518990838025</x:v>
      </x:c>
      <x:c r="H245" s="127" t="n">
        <x:f>1+COUNTIFS($C$4:$C$802,C245,$G$4:$G$802,"&gt;"&amp;G245)</x:f>
        <x:v>9</x:v>
      </x:c>
      <x:c r="I245" s="128" t="n">
        <x:f>D245/SUMIF($C$4:$C$802,C245,$D$4:$D$802)</x:f>
        <x:v>0.024570000751302053</x:v>
      </x:c>
      <x:c r="J245" s="103" t="n">
        <x:f>(D245/SUMIF($A$4:$A$802,A245,$D$4:$D$802))/(SUMIF($C$4:$C$802,C245,$D$4:$D$802)/SUM($D$4:$D$802))</x:f>
        <x:v>1.2197501640053603</x:v>
      </x:c>
    </x:row>
    <x:row r="246">
      <x:c r="A246" s="101" t="str">
        <x:v>新潟県</x:v>
      </x:c>
      <x:c r="B246" s="101" t="str">
        <x:v>F</x:v>
      </x:c>
      <x:c r="C246" s="101" t="str">
        <x:v>電気・ガス・熱供給・水道業</x:v>
      </x:c>
      <x:c r="D246" s="102" t="n">
        <x:v>189</x:v>
      </x:c>
      <x:c r="E246" s="102" t="n">
        <x:f>1+COUNTIFS($C$4:$C$802,C246,$D$4:$D$802,"&gt;"&amp;D246)</x:f>
        <x:v>20</x:v>
      </x:c>
      <x:c r="F246" s="102" t="n">
        <x:v>2201272</x:v>
      </x:c>
      <x:c r="G246" s="126" t="n">
        <x:f>D246/F246*100000</x:f>
        <x:v>8.585944853702768</x:v>
      </x:c>
      <x:c r="H246" s="127" t="n">
        <x:f>1+COUNTIFS($C$4:$C$802,C246,$G$4:$G$802,"&gt;"&amp;G246)</x:f>
        <x:v>23</x:v>
      </x:c>
      <x:c r="I246" s="128" t="n">
        <x:f>D246/SUMIF($C$4:$C$802,C246,$D$4:$D$802)</x:f>
        <x:v>0.02068059962796805</x:v>
      </x:c>
      <x:c r="J246" s="103" t="n">
        <x:f>(D246/SUMIF($A$4:$A$802,A246,$D$4:$D$802))/(SUMIF($C$4:$C$802,C246,$D$4:$D$802)/SUM($D$4:$D$802))</x:f>
        <x:v>1.0266652021411293</x:v>
      </x:c>
    </x:row>
    <x:row r="247">
      <x:c r="A247" s="101" t="str">
        <x:v>新潟県</x:v>
      </x:c>
      <x:c r="B247" s="101" t="str">
        <x:v>G</x:v>
      </x:c>
      <x:c r="C247" s="101" t="str">
        <x:v>情報通信業</x:v>
      </x:c>
      <x:c r="D247" s="102" t="n">
        <x:v>813</x:v>
      </x:c>
      <x:c r="E247" s="102" t="n">
        <x:f>1+COUNTIFS($C$4:$C$802,C247,$D$4:$D$802,"&gt;"&amp;D247)</x:f>
        <x:v>16</x:v>
      </x:c>
      <x:c r="F247" s="102" t="n">
        <x:v>2201272</x:v>
      </x:c>
      <x:c r="G247" s="126" t="n">
        <x:f>D247/F247*100000</x:f>
        <x:v>36.933191354816664</x:v>
      </x:c>
      <x:c r="H247" s="127" t="n">
        <x:f>1+COUNTIFS($C$4:$C$802,C247,$G$4:$G$802,"&gt;"&amp;G247)</x:f>
        <x:v>22</x:v>
      </x:c>
      <x:c r="I247" s="128" t="n">
        <x:f>D247/SUMIF($C$4:$C$802,C247,$D$4:$D$802)</x:f>
        <x:v>0.010619260962133779</x:v>
      </x:c>
      <x:c r="J247" s="103" t="n">
        <x:f>(D247/SUMIF($A$4:$A$802,A247,$D$4:$D$802))/(SUMIF($C$4:$C$802,C247,$D$4:$D$802)/SUM($D$4:$D$802))</x:f>
        <x:v>0.5271813147784288</x:v>
      </x:c>
    </x:row>
    <x:row r="248">
      <x:c r="A248" s="101" t="str">
        <x:v>新潟県</x:v>
      </x:c>
      <x:c r="B248" s="101" t="str">
        <x:v>H</x:v>
      </x:c>
      <x:c r="C248" s="101" t="str">
        <x:v>運輸業，郵便業</x:v>
      </x:c>
      <x:c r="D248" s="102" t="n">
        <x:v>2141</x:v>
      </x:c>
      <x:c r="E248" s="102" t="n">
        <x:f>1+COUNTIFS($C$4:$C$802,C248,$D$4:$D$802,"&gt;"&amp;D248)</x:f>
        <x:v>16</x:v>
      </x:c>
      <x:c r="F248" s="102" t="n">
        <x:v>2201272</x:v>
      </x:c>
      <x:c r="G248" s="126" t="n">
        <x:f>D248/F248*100000</x:f>
        <x:v>97.26194672898215</x:v>
      </x:c>
      <x:c r="H248" s="127" t="n">
        <x:f>1+COUNTIFS($C$4:$C$802,C248,$G$4:$G$802,"&gt;"&amp;G248)</x:f>
        <x:v>33</x:v>
      </x:c>
      <x:c r="I248" s="128" t="n">
        <x:f>D248/SUMIF($C$4:$C$802,C248,$D$4:$D$802)</x:f>
        <x:v>0.016697342151235337</x:v>
      </x:c>
      <x:c r="J248" s="103" t="n">
        <x:f>(D248/SUMIF($A$4:$A$802,A248,$D$4:$D$802))/(SUMIF($C$4:$C$802,C248,$D$4:$D$802)/SUM($D$4:$D$802))</x:f>
        <x:v>0.8289208467502233</x:v>
      </x:c>
    </x:row>
    <x:row r="249">
      <x:c r="A249" s="101" t="str">
        <x:v>新潟県</x:v>
      </x:c>
      <x:c r="B249" s="101" t="str">
        <x:v>I</x:v>
      </x:c>
      <x:c r="C249" s="101" t="str">
        <x:v>卸売業，小売業</x:v>
      </x:c>
      <x:c r="D249" s="102" t="n">
        <x:v>25467</x:v>
      </x:c>
      <x:c r="E249" s="102" t="n">
        <x:f>1+COUNTIFS($C$4:$C$802,C249,$D$4:$D$802,"&gt;"&amp;D249)</x:f>
        <x:v>14</x:v>
      </x:c>
      <x:c r="F249" s="102" t="n">
        <x:v>2201272</x:v>
      </x:c>
      <x:c r="G249" s="126" t="n">
        <x:f>D249/F249*100000</x:f>
        <x:v>1156.9219978267113</x:v>
      </x:c>
      <x:c r="H249" s="127" t="n">
        <x:f>1+COUNTIFS($C$4:$C$802,C249,$G$4:$G$802,"&gt;"&amp;G249)</x:f>
        <x:v>13</x:v>
      </x:c>
      <x:c r="I249" s="128" t="n">
        <x:f>D249/SUMIF($C$4:$C$802,C249,$D$4:$D$802)</x:f>
        <x:v>0.02072307391856264</x:v>
      </x:c>
      <x:c r="J249" s="103" t="n">
        <x:f>(D249/SUMIF($A$4:$A$802,A249,$D$4:$D$802))/(SUMIF($C$4:$C$802,C249,$D$4:$D$802)/SUM($D$4:$D$802))</x:f>
        <x:v>1.028773790718035</x:v>
      </x:c>
    </x:row>
    <x:row r="250">
      <x:c r="A250" s="101" t="str">
        <x:v>新潟県</x:v>
      </x:c>
      <x:c r="B250" s="101" t="str">
        <x:v>J</x:v>
      </x:c>
      <x:c r="C250" s="101" t="str">
        <x:v>金融業，保険業</x:v>
      </x:c>
      <x:c r="D250" s="102" t="n">
        <x:v>1611</x:v>
      </x:c>
      <x:c r="E250" s="102" t="n">
        <x:f>1+COUNTIFS($C$4:$C$802,C250,$D$4:$D$802,"&gt;"&amp;D250)</x:f>
        <x:v>12</x:v>
      </x:c>
      <x:c r="F250" s="102" t="n">
        <x:v>2201272</x:v>
      </x:c>
      <x:c r="G250" s="126" t="n">
        <x:f>D250/F250*100000</x:f>
        <x:v>73.18495851489503</x:v>
      </x:c>
      <x:c r="H250" s="127" t="n">
        <x:f>1+COUNTIFS($C$4:$C$802,C250,$G$4:$G$802,"&gt;"&amp;G250)</x:f>
        <x:v>28</x:v>
      </x:c>
      <x:c r="I250" s="128" t="n">
        <x:f>D250/SUMIF($C$4:$C$802,C250,$D$4:$D$802)</x:f>
        <x:v>0.019212421886180414</x:v>
      </x:c>
      <x:c r="J250" s="103" t="n">
        <x:f>(D250/SUMIF($A$4:$A$802,A250,$D$4:$D$802))/(SUMIF($C$4:$C$802,C250,$D$4:$D$802)/SUM($D$4:$D$802))</x:f>
        <x:v>0.9537791628014851</x:v>
      </x:c>
    </x:row>
    <x:row r="251">
      <x:c r="A251" s="101" t="str">
        <x:v>新潟県</x:v>
      </x:c>
      <x:c r="B251" s="101" t="str">
        <x:v>K</x:v>
      </x:c>
      <x:c r="C251" s="101" t="str">
        <x:v>不動産業，物品賃貸業</x:v>
      </x:c>
      <x:c r="D251" s="102" t="n">
        <x:v>4957</x:v>
      </x:c>
      <x:c r="E251" s="102" t="n">
        <x:f>1+COUNTIFS($C$4:$C$802,C251,$D$4:$D$802,"&gt;"&amp;D251)</x:f>
        <x:v>19</x:v>
      </x:c>
      <x:c r="F251" s="102" t="n">
        <x:v>2201272</x:v>
      </x:c>
      <x:c r="G251" s="126" t="n">
        <x:f>D251/F251*100000</x:f>
        <x:v>225.1879822211885</x:v>
      </x:c>
      <x:c r="H251" s="127" t="n">
        <x:f>1+COUNTIFS($C$4:$C$802,C251,$G$4:$G$802,"&gt;"&amp;G251)</x:f>
        <x:v>35</x:v>
      </x:c>
      <x:c r="I251" s="128" t="n">
        <x:f>D251/SUMIF($C$4:$C$802,C251,$D$4:$D$802)</x:f>
        <x:v>0.013237870403999402</x:v>
      </x:c>
      <x:c r="J251" s="103" t="n">
        <x:f>(D251/SUMIF($A$4:$A$802,A251,$D$4:$D$802))/(SUMIF($C$4:$C$802,C251,$D$4:$D$802)/SUM($D$4:$D$802))</x:f>
        <x:v>0.6571792471558754</x:v>
      </x:c>
    </x:row>
    <x:row r="252">
      <x:c r="A252" s="101" t="str">
        <x:v>新潟県</x:v>
      </x:c>
      <x:c r="B252" s="101" t="str">
        <x:v>L</x:v>
      </x:c>
      <x:c r="C252" s="101" t="str">
        <x:v>学術研究，専門・技術サービス業</x:v>
      </x:c>
      <x:c r="D252" s="102" t="n">
        <x:v>3825</x:v>
      </x:c>
      <x:c r="E252" s="102" t="n">
        <x:f>1+COUNTIFS($C$4:$C$802,C252,$D$4:$D$802,"&gt;"&amp;D252)</x:f>
        <x:v>16</x:v>
      </x:c>
      <x:c r="F252" s="102" t="n">
        <x:v>2201272</x:v>
      </x:c>
      <x:c r="G252" s="126" t="n">
        <x:f>D252/F252*100000</x:f>
        <x:v>173.7631696582703</x:v>
      </x:c>
      <x:c r="H252" s="127" t="n">
        <x:f>1+COUNTIFS($C$4:$C$802,C252,$G$4:$G$802,"&gt;"&amp;G252)</x:f>
        <x:v>27</x:v>
      </x:c>
      <x:c r="I252" s="128" t="n">
        <x:f>D252/SUMIF($C$4:$C$802,C252,$D$4:$D$802)</x:f>
        <x:v>0.015158119996829674</x:v>
      </x:c>
      <x:c r="J252" s="103" t="n">
        <x:f>(D252/SUMIF($A$4:$A$802,A252,$D$4:$D$802))/(SUMIF($C$4:$C$802,C252,$D$4:$D$802)/SUM($D$4:$D$802))</x:f>
        <x:v>0.752507887130045</x:v>
      </x:c>
    </x:row>
    <x:row r="253">
      <x:c r="A253" s="101" t="str">
        <x:v>新潟県</x:v>
      </x:c>
      <x:c r="B253" s="101" t="str">
        <x:v>M</x:v>
      </x:c>
      <x:c r="C253" s="101" t="str">
        <x:v>宿泊業，飲食サービス業</x:v>
      </x:c>
      <x:c r="D253" s="102" t="n">
        <x:v>11332</x:v>
      </x:c>
      <x:c r="E253" s="102" t="n">
        <x:f>1+COUNTIFS($C$4:$C$802,C253,$D$4:$D$802,"&gt;"&amp;D253)</x:f>
        <x:v>14</x:v>
      </x:c>
      <x:c r="F253" s="102" t="n">
        <x:v>2201272</x:v>
      </x:c>
      <x:c r="G253" s="126" t="n">
        <x:f>D253/F253*100000</x:f>
        <x:v>514.7932649849723</x:v>
      </x:c>
      <x:c r="H253" s="127" t="n">
        <x:f>1+COUNTIFS($C$4:$C$802,C253,$G$4:$G$802,"&gt;"&amp;G253)</x:f>
        <x:v>22</x:v>
      </x:c>
      <x:c r="I253" s="128" t="n">
        <x:f>D253/SUMIF($C$4:$C$802,C253,$D$4:$D$802)</x:f>
        <x:v>0.01891636536028231</x:v>
      </x:c>
      <x:c r="J253" s="103" t="n">
        <x:f>(D253/SUMIF($A$4:$A$802,A253,$D$4:$D$802))/(SUMIF($C$4:$C$802,C253,$D$4:$D$802)/SUM($D$4:$D$802))</x:f>
        <x:v>0.9390817682155312</x:v>
      </x:c>
    </x:row>
    <x:row r="254">
      <x:c r="A254" s="101" t="str">
        <x:v>新潟県</x:v>
      </x:c>
      <x:c r="B254" s="101" t="str">
        <x:v>N</x:v>
      </x:c>
      <x:c r="C254" s="101" t="str">
        <x:v>生活関連サービス業，娯楽業</x:v>
      </x:c>
      <x:c r="D254" s="102" t="n">
        <x:v>9818</x:v>
      </x:c>
      <x:c r="E254" s="102" t="n">
        <x:f>1+COUNTIFS($C$4:$C$802,C254,$D$4:$D$802,"&gt;"&amp;D254)</x:f>
        <x:v>13</x:v>
      </x:c>
      <x:c r="F254" s="102" t="n">
        <x:v>2201272</x:v>
      </x:c>
      <x:c r="G254" s="126" t="n">
        <x:f>D254/F254*100000</x:f>
        <x:v>446.0148495960517</x:v>
      </x:c>
      <x:c r="H254" s="127" t="n">
        <x:f>1+COUNTIFS($C$4:$C$802,C254,$G$4:$G$802,"&gt;"&amp;G254)</x:f>
        <x:v>8</x:v>
      </x:c>
      <x:c r="I254" s="128" t="n">
        <x:f>D254/SUMIF($C$4:$C$802,C254,$D$4:$D$802)</x:f>
        <x:v>0.022611230997054414</x:v>
      </x:c>
      <x:c r="J254" s="103" t="n">
        <x:f>(D254/SUMIF($A$4:$A$802,A254,$D$4:$D$802))/(SUMIF($C$4:$C$802,C254,$D$4:$D$802)/SUM($D$4:$D$802))</x:f>
        <x:v>1.1225092337678761</x:v>
      </x:c>
    </x:row>
    <x:row r="255">
      <x:c r="A255" s="101" t="str">
        <x:v>新潟県</x:v>
      </x:c>
      <x:c r="B255" s="101" t="str">
        <x:v>O</x:v>
      </x:c>
      <x:c r="C255" s="101" t="str">
        <x:v>教育，学習支援業</x:v>
      </x:c>
      <x:c r="D255" s="102" t="n">
        <x:v>3037</x:v>
      </x:c>
      <x:c r="E255" s="102" t="n">
        <x:f>1+COUNTIFS($C$4:$C$802,C255,$D$4:$D$802,"&gt;"&amp;D255)</x:f>
        <x:v>14</x:v>
      </x:c>
      <x:c r="F255" s="102" t="n">
        <x:v>2201272</x:v>
      </x:c>
      <x:c r="G255" s="126" t="n">
        <x:f>D255/F255*100000</x:f>
        <x:v>137.96568529468416</x:v>
      </x:c>
      <x:c r="H255" s="127" t="n">
        <x:f>1+COUNTIFS($C$4:$C$802,C255,$G$4:$G$802,"&gt;"&amp;G255)</x:f>
        <x:v>14</x:v>
      </x:c>
      <x:c r="I255" s="128" t="n">
        <x:f>D255/SUMIF($C$4:$C$802,C255,$D$4:$D$802)</x:f>
        <x:v>0.01859118372643964</x:v>
      </x:c>
      <x:c r="J255" s="103" t="n">
        <x:f>(D255/SUMIF($A$4:$A$802,A255,$D$4:$D$802))/(SUMIF($C$4:$C$802,C255,$D$4:$D$802)/SUM($D$4:$D$802))</x:f>
        <x:v>0.9229384902715894</x:v>
      </x:c>
    </x:row>
    <x:row r="256">
      <x:c r="A256" s="101" t="str">
        <x:v>新潟県</x:v>
      </x:c>
      <x:c r="B256" s="101" t="str">
        <x:v>P</x:v>
      </x:c>
      <x:c r="C256" s="101" t="str">
        <x:v>医療，福祉</x:v>
      </x:c>
      <x:c r="D256" s="102" t="n">
        <x:v>7797</x:v>
      </x:c>
      <x:c r="E256" s="102" t="n">
        <x:f>1+COUNTIFS($C$4:$C$802,C256,$D$4:$D$802,"&gt;"&amp;D256)</x:f>
        <x:v>15</x:v>
      </x:c>
      <x:c r="F256" s="102" t="n">
        <x:v>2201272</x:v>
      </x:c>
      <x:c r="G256" s="126" t="n">
        <x:f>D256/F256*100000</x:f>
        <x:v>354.2042964249761</x:v>
      </x:c>
      <x:c r="H256" s="127" t="n">
        <x:f>1+COUNTIFS($C$4:$C$802,C256,$G$4:$G$802,"&gt;"&amp;G256)</x:f>
        <x:v>35</x:v>
      </x:c>
      <x:c r="I256" s="128" t="n">
        <x:f>D256/SUMIF($C$4:$C$802,C256,$D$4:$D$802)</x:f>
        <x:v>0.01685724848712843</x:v>
      </x:c>
      <x:c r="J256" s="103" t="n">
        <x:f>(D256/SUMIF($A$4:$A$802,A256,$D$4:$D$802))/(SUMIF($C$4:$C$802,C256,$D$4:$D$802)/SUM($D$4:$D$802))</x:f>
        <x:v>0.8368592176687002</x:v>
      </x:c>
    </x:row>
    <x:row r="257">
      <x:c r="A257" s="101" t="str">
        <x:v>新潟県</x:v>
      </x:c>
      <x:c r="B257" s="101" t="str">
        <x:v>Q</x:v>
      </x:c>
      <x:c r="C257" s="101" t="str">
        <x:v>複合サービス事業</x:v>
      </x:c>
      <x:c r="D257" s="102" t="n">
        <x:v>882</x:v>
      </x:c>
      <x:c r="E257" s="102" t="n">
        <x:f>1+COUNTIFS($C$4:$C$802,C257,$D$4:$D$802,"&gt;"&amp;D257)</x:f>
        <x:v>13</x:v>
      </x:c>
      <x:c r="F257" s="102" t="n">
        <x:v>2201272</x:v>
      </x:c>
      <x:c r="G257" s="126" t="n">
        <x:f>D257/F257*100000</x:f>
        <x:v>40.06774265061292</x:v>
      </x:c>
      <x:c r="H257" s="127" t="n">
        <x:f>1+COUNTIFS($C$4:$C$802,C257,$G$4:$G$802,"&gt;"&amp;G257)</x:f>
        <x:v>18</x:v>
      </x:c>
      <x:c r="I257" s="128" t="n">
        <x:f>D257/SUMIF($C$4:$C$802,C257,$D$4:$D$802)</x:f>
        <x:v>0.02745012604649715</x:v>
      </x:c>
      <x:c r="J257" s="103" t="n">
        <x:f>(D257/SUMIF($A$4:$A$802,A257,$D$4:$D$802))/(SUMIF($C$4:$C$802,C257,$D$4:$D$802)/SUM($D$4:$D$802))</x:f>
        <x:v>1.3627307579715222</x:v>
      </x:c>
    </x:row>
    <x:row r="258">
      <x:c r="A258" s="101" t="str">
        <x:v>新潟県</x:v>
      </x:c>
      <x:c r="B258" s="101" t="str">
        <x:v>R</x:v>
      </x:c>
      <x:c r="C258" s="101" t="str">
        <x:v>サービス業（他に分類されないもの）</x:v>
      </x:c>
      <x:c r="D258" s="102" t="n">
        <x:v>7971</x:v>
      </x:c>
      <x:c r="E258" s="102" t="n">
        <x:f>1+COUNTIFS($C$4:$C$802,C258,$D$4:$D$802,"&gt;"&amp;D258)</x:f>
        <x:v>13</x:v>
      </x:c>
      <x:c r="F258" s="102" t="n">
        <x:v>2201272</x:v>
      </x:c>
      <x:c r="G258" s="126" t="n">
        <x:f>D258/F258*100000</x:f>
        <x:v>362.10881708394055</x:v>
      </x:c>
      <x:c r="H258" s="127" t="n">
        <x:f>1+COUNTIFS($C$4:$C$802,C258,$G$4:$G$802,"&gt;"&amp;G258)</x:f>
        <x:v>15</x:v>
      </x:c>
      <x:c r="I258" s="128" t="n">
        <x:f>D258/SUMIF($C$4:$C$802,C258,$D$4:$D$802)</x:f>
        <x:v>0.021589222452141316</x:v>
      </x:c>
      <x:c r="J258" s="103" t="n">
        <x:f>(D258/SUMIF($A$4:$A$802,A258,$D$4:$D$802))/(SUMIF($C$4:$C$802,C258,$D$4:$D$802)/SUM($D$4:$D$802))</x:f>
        <x:v>1.0717727644087303</x:v>
      </x:c>
    </x:row>
    <x:row r="259">
      <x:c r="A259" s="101" t="str">
        <x:v>富山県</x:v>
      </x:c>
      <x:c r="B259" s="101" t="str">
        <x:v>AB</x:v>
      </x:c>
      <x:c r="C259" s="101" t="str">
        <x:v>農林漁業</x:v>
      </x:c>
      <x:c r="D259" s="102" t="n">
        <x:v>810</x:v>
      </x:c>
      <x:c r="E259" s="102" t="n">
        <x:f>1+COUNTIFS($C$4:$C$802,C259,$D$4:$D$802,"&gt;"&amp;D259)</x:f>
        <x:v>22</x:v>
      </x:c>
      <x:c r="F259" s="102" t="n">
        <x:v>1034814</x:v>
      </x:c>
      <x:c r="G259" s="126" t="n">
        <x:f>D259/F259*100000</x:f>
        <x:v>78.27493636537581</x:v>
      </x:c>
      <x:c r="H259" s="127" t="n">
        <x:f>1+COUNTIFS($C$4:$C$802,C259,$G$4:$G$802,"&gt;"&amp;G259)</x:f>
        <x:v>9</x:v>
      </x:c>
      <x:c r="I259" s="128" t="n">
        <x:f>D259/SUMIF($C$4:$C$802,C259,$D$4:$D$802)</x:f>
        <x:v>0.01907767676291865</x:v>
      </x:c>
      <x:c r="J259" s="103" t="n">
        <x:f>(D259/SUMIF($A$4:$A$802,A259,$D$4:$D$802))/(SUMIF($C$4:$C$802,C259,$D$4:$D$802)/SUM($D$4:$D$802))</x:f>
        <x:v>2.007996065961268</x:v>
      </x:c>
    </x:row>
    <x:row r="260">
      <x:c r="A260" s="101" t="str">
        <x:v>富山県</x:v>
      </x:c>
      <x:c r="B260" s="101" t="str">
        <x:v>C</x:v>
      </x:c>
      <x:c r="C260" s="101" t="str">
        <x:v>鉱業，採石業，砂利採取業</x:v>
      </x:c>
      <x:c r="D260" s="102" t="n">
        <x:v>35</x:v>
      </x:c>
      <x:c r="E260" s="102" t="n">
        <x:f>1+COUNTIFS($C$4:$C$802,C260,$D$4:$D$802,"&gt;"&amp;D260)</x:f>
        <x:v>20</x:v>
      </x:c>
      <x:c r="F260" s="102" t="n">
        <x:v>1034814</x:v>
      </x:c>
      <x:c r="G260" s="126" t="n">
        <x:f>D260/F260*100000</x:f>
        <x:v>3.3822503367754977</x:v>
      </x:c>
      <x:c r="H260" s="127" t="n">
        <x:f>1+COUNTIFS($C$4:$C$802,C260,$G$4:$G$802,"&gt;"&amp;G260)</x:f>
        <x:v>8</x:v>
      </x:c>
      <x:c r="I260" s="128" t="n">
        <x:f>D260/SUMIF($C$4:$C$802,C260,$D$4:$D$802)</x:f>
        <x:v>0.01876675603217158</x:v>
      </x:c>
      <x:c r="J260" s="103" t="n">
        <x:f>(D260/SUMIF($A$4:$A$802,A260,$D$4:$D$802))/(SUMIF($C$4:$C$802,C260,$D$4:$D$802)/SUM($D$4:$D$802))</x:f>
        <x:v>1.9752705086554945</x:v>
      </x:c>
    </x:row>
    <x:row r="261">
      <x:c r="A261" s="101" t="str">
        <x:v>富山県</x:v>
      </x:c>
      <x:c r="B261" s="101" t="str">
        <x:v>D</x:v>
      </x:c>
      <x:c r="C261" s="101" t="str">
        <x:v>建設業</x:v>
      </x:c>
      <x:c r="D261" s="102" t="n">
        <x:v>5420</x:v>
      </x:c>
      <x:c r="E261" s="102" t="n">
        <x:f>1+COUNTIFS($C$4:$C$802,C261,$D$4:$D$802,"&gt;"&amp;D261)</x:f>
        <x:v>32</x:v>
      </x:c>
      <x:c r="F261" s="102" t="n">
        <x:v>1034814</x:v>
      </x:c>
      <x:c r="G261" s="126" t="n">
        <x:f>D261/F261*100000</x:f>
        <x:v>523.7656235806628</x:v>
      </x:c>
      <x:c r="H261" s="127" t="n">
        <x:f>1+COUNTIFS($C$4:$C$802,C261,$G$4:$G$802,"&gt;"&amp;G261)</x:f>
        <x:v>5</x:v>
      </x:c>
      <x:c r="I261" s="128" t="n">
        <x:f>D261/SUMIF($C$4:$C$802,C261,$D$4:$D$802)</x:f>
        <x:v>0.011172147958815588</x:v>
      </x:c>
      <x:c r="J261" s="103" t="n">
        <x:f>(D261/SUMIF($A$4:$A$802,A261,$D$4:$D$802))/(SUMIF($C$4:$C$802,C261,$D$4:$D$802)/SUM($D$4:$D$802))</x:f>
        <x:v>1.1759099091794674</x:v>
      </x:c>
    </x:row>
    <x:row r="262">
      <x:c r="A262" s="101" t="str">
        <x:v>富山県</x:v>
      </x:c>
      <x:c r="B262" s="101" t="str">
        <x:v>E</x:v>
      </x:c>
      <x:c r="C262" s="101" t="str">
        <x:v>製造業</x:v>
      </x:c>
      <x:c r="D262" s="102" t="n">
        <x:v>4702</x:v>
      </x:c>
      <x:c r="E262" s="102" t="n">
        <x:f>1+COUNTIFS($C$4:$C$802,C262,$D$4:$D$802,"&gt;"&amp;D262)</x:f>
        <x:v>26</x:v>
      </x:c>
      <x:c r="F262" s="102" t="n">
        <x:v>1034814</x:v>
      </x:c>
      <x:c r="G262" s="126" t="n">
        <x:f>D262/F262*100000</x:f>
        <x:v>454.3811738148111</x:v>
      </x:c>
      <x:c r="H262" s="127" t="n">
        <x:f>1+COUNTIFS($C$4:$C$802,C262,$G$4:$G$802,"&gt;"&amp;G262)</x:f>
        <x:v>10</x:v>
      </x:c>
      <x:c r="I262" s="128" t="n">
        <x:f>D262/SUMIF($C$4:$C$802,C262,$D$4:$D$802)</x:f>
        <x:v>0.011395555684811823</x:v>
      </x:c>
      <x:c r="J262" s="103" t="n">
        <x:f>(D262/SUMIF($A$4:$A$802,A262,$D$4:$D$802))/(SUMIF($C$4:$C$802,C262,$D$4:$D$802)/SUM($D$4:$D$802))</x:f>
        <x:v>1.1994243989404925</x:v>
      </x:c>
    </x:row>
    <x:row r="263">
      <x:c r="A263" s="101" t="str">
        <x:v>富山県</x:v>
      </x:c>
      <x:c r="B263" s="101" t="str">
        <x:v>F</x:v>
      </x:c>
      <x:c r="C263" s="101" t="str">
        <x:v>電気・ガス・熱供給・水道業</x:v>
      </x:c>
      <x:c r="D263" s="102" t="n">
        <x:v>73</x:v>
      </x:c>
      <x:c r="E263" s="102" t="n">
        <x:f>1+COUNTIFS($C$4:$C$802,C263,$D$4:$D$802,"&gt;"&amp;D263)</x:f>
        <x:v>40</x:v>
      </x:c>
      <x:c r="F263" s="102" t="n">
        <x:v>1034814</x:v>
      </x:c>
      <x:c r="G263" s="126" t="n">
        <x:f>D263/F263*100000</x:f>
        <x:v>7.05440784527461</x:v>
      </x:c>
      <x:c r="H263" s="127" t="n">
        <x:f>1+COUNTIFS($C$4:$C$802,C263,$G$4:$G$802,"&gt;"&amp;G263)</x:f>
        <x:v>33</x:v>
      </x:c>
      <x:c r="I263" s="128" t="n">
        <x:f>D263/SUMIF($C$4:$C$802,C263,$D$4:$D$802)</x:f>
        <x:v>0.007987744829850093</x:v>
      </x:c>
      <x:c r="J263" s="103" t="n">
        <x:f>(D263/SUMIF($A$4:$A$802,A263,$D$4:$D$802))/(SUMIF($C$4:$C$802,C263,$D$4:$D$802)/SUM($D$4:$D$802))</x:f>
        <x:v>0.8407396976877817</x:v>
      </x:c>
    </x:row>
    <x:row r="264">
      <x:c r="A264" s="101" t="str">
        <x:v>富山県</x:v>
      </x:c>
      <x:c r="B264" s="101" t="str">
        <x:v>G</x:v>
      </x:c>
      <x:c r="C264" s="101" t="str">
        <x:v>情報通信業</x:v>
      </x:c>
      <x:c r="D264" s="102" t="n">
        <x:v>442</x:v>
      </x:c>
      <x:c r="E264" s="102" t="n">
        <x:f>1+COUNTIFS($C$4:$C$802,C264,$D$4:$D$802,"&gt;"&amp;D264)</x:f>
        <x:v>28</x:v>
      </x:c>
      <x:c r="F264" s="102" t="n">
        <x:v>1034814</x:v>
      </x:c>
      <x:c r="G264" s="126" t="n">
        <x:f>D264/F264*100000</x:f>
        <x:v>42.71298996727914</x:v>
      </x:c>
      <x:c r="H264" s="127" t="n">
        <x:f>1+COUNTIFS($C$4:$C$802,C264,$G$4:$G$802,"&gt;"&amp;G264)</x:f>
        <x:v>14</x:v>
      </x:c>
      <x:c r="I264" s="128" t="n">
        <x:f>D264/SUMIF($C$4:$C$802,C264,$D$4:$D$802)</x:f>
        <x:v>0.00577332514792513</x:v>
      </x:c>
      <x:c r="J264" s="103" t="n">
        <x:f>(D264/SUMIF($A$4:$A$802,A264,$D$4:$D$802))/(SUMIF($C$4:$C$802,C264,$D$4:$D$802)/SUM($D$4:$D$802))</x:f>
        <x:v>0.6076638328982442</x:v>
      </x:c>
    </x:row>
    <x:row r="265">
      <x:c r="A265" s="101" t="str">
        <x:v>富山県</x:v>
      </x:c>
      <x:c r="B265" s="101" t="str">
        <x:v>H</x:v>
      </x:c>
      <x:c r="C265" s="101" t="str">
        <x:v>運輸業，郵便業</x:v>
      </x:c>
      <x:c r="D265" s="102" t="n">
        <x:v>1059</x:v>
      </x:c>
      <x:c r="E265" s="102" t="n">
        <x:f>1+COUNTIFS($C$4:$C$802,C265,$D$4:$D$802,"&gt;"&amp;D265)</x:f>
        <x:v>35</x:v>
      </x:c>
      <x:c r="F265" s="102" t="n">
        <x:v>1034814</x:v>
      </x:c>
      <x:c r="G265" s="126" t="n">
        <x:f>D265/F265*100000</x:f>
        <x:v>102.33723161843578</x:v>
      </x:c>
      <x:c r="H265" s="127" t="n">
        <x:f>1+COUNTIFS($C$4:$C$802,C265,$G$4:$G$802,"&gt;"&amp;G265)</x:f>
        <x:v>24</x:v>
      </x:c>
      <x:c r="I265" s="128" t="n">
        <x:f>D265/SUMIF($C$4:$C$802,C265,$D$4:$D$802)</x:f>
        <x:v>0.00825898427751435</x:v>
      </x:c>
      <x:c r="J265" s="103" t="n">
        <x:f>(D265/SUMIF($A$4:$A$802,A265,$D$4:$D$802))/(SUMIF($C$4:$C$802,C265,$D$4:$D$802)/SUM($D$4:$D$802))</x:f>
        <x:v>0.8692886531298808</x:v>
      </x:c>
    </x:row>
    <x:row r="266">
      <x:c r="A266" s="101" t="str">
        <x:v>富山県</x:v>
      </x:c>
      <x:c r="B266" s="101" t="str">
        <x:v>I</x:v>
      </x:c>
      <x:c r="C266" s="101" t="str">
        <x:v>卸売業，小売業</x:v>
      </x:c>
      <x:c r="D266" s="102" t="n">
        <x:v>12270</x:v>
      </x:c>
      <x:c r="E266" s="102" t="n">
        <x:f>1+COUNTIFS($C$4:$C$802,C266,$D$4:$D$802,"&gt;"&amp;D266)</x:f>
        <x:v>34</x:v>
      </x:c>
      <x:c r="F266" s="102" t="n">
        <x:v>1034814</x:v>
      </x:c>
      <x:c r="G266" s="126" t="n">
        <x:f>D266/F266*100000</x:f>
        <x:v>1185.7203323495817</x:v>
      </x:c>
      <x:c r="H266" s="127" t="n">
        <x:f>1+COUNTIFS($C$4:$C$802,C266,$G$4:$G$802,"&gt;"&amp;G266)</x:f>
        <x:v>9</x:v>
      </x:c>
      <x:c r="I266" s="128" t="n">
        <x:f>D266/SUMIF($C$4:$C$802,C266,$D$4:$D$802)</x:f>
        <x:v>0.009984376525729909</x:v>
      </x:c>
      <x:c r="J266" s="103" t="n">
        <x:f>(D266/SUMIF($A$4:$A$802,A266,$D$4:$D$802))/(SUMIF($C$4:$C$802,C266,$D$4:$D$802)/SUM($D$4:$D$802))</x:f>
        <x:v>1.050892571138966</x:v>
      </x:c>
    </x:row>
    <x:row r="267">
      <x:c r="A267" s="101" t="str">
        <x:v>富山県</x:v>
      </x:c>
      <x:c r="B267" s="101" t="str">
        <x:v>J</x:v>
      </x:c>
      <x:c r="C267" s="101" t="str">
        <x:v>金融業，保険業</x:v>
      </x:c>
      <x:c r="D267" s="102" t="n">
        <x:v>946</x:v>
      </x:c>
      <x:c r="E267" s="102" t="n">
        <x:f>1+COUNTIFS($C$4:$C$802,C267,$D$4:$D$802,"&gt;"&amp;D267)</x:f>
        <x:v>31</x:v>
      </x:c>
      <x:c r="F267" s="102" t="n">
        <x:v>1034814</x:v>
      </x:c>
      <x:c r="G267" s="126" t="n">
        <x:f>D267/F267*100000</x:f>
        <x:v>91.41739481684631</x:v>
      </x:c>
      <x:c r="H267" s="127" t="n">
        <x:f>1+COUNTIFS($C$4:$C$802,C267,$G$4:$G$802,"&gt;"&amp;G267)</x:f>
        <x:v>2</x:v>
      </x:c>
      <x:c r="I267" s="128" t="n">
        <x:f>D267/SUMIF($C$4:$C$802,C267,$D$4:$D$802)</x:f>
        <x:v>0.011281782187663979</x:v>
      </x:c>
      <x:c r="J267" s="103" t="n">
        <x:f>(D267/SUMIF($A$4:$A$802,A267,$D$4:$D$802))/(SUMIF($C$4:$C$802,C267,$D$4:$D$802)/SUM($D$4:$D$802))</x:f>
        <x:v>1.1874493174081553</x:v>
      </x:c>
    </x:row>
    <x:row r="268">
      <x:c r="A268" s="101" t="str">
        <x:v>富山県</x:v>
      </x:c>
      <x:c r="B268" s="101" t="str">
        <x:v>K</x:v>
      </x:c>
      <x:c r="C268" s="101" t="str">
        <x:v>不動産業，物品賃貸業</x:v>
      </x:c>
      <x:c r="D268" s="102" t="n">
        <x:v>2134</x:v>
      </x:c>
      <x:c r="E268" s="102" t="n">
        <x:f>1+COUNTIFS($C$4:$C$802,C268,$D$4:$D$802,"&gt;"&amp;D268)</x:f>
        <x:v>40</x:v>
      </x:c>
      <x:c r="F268" s="102" t="n">
        <x:v>1034814</x:v>
      </x:c>
      <x:c r="G268" s="126" t="n">
        <x:f>D268/F268*100000</x:f>
        <x:v>206.2206348193975</x:v>
      </x:c>
      <x:c r="H268" s="127" t="n">
        <x:f>1+COUNTIFS($C$4:$C$802,C268,$G$4:$G$802,"&gt;"&amp;G268)</x:f>
        <x:v>40</x:v>
      </x:c>
      <x:c r="I268" s="128" t="n">
        <x:f>D268/SUMIF($C$4:$C$802,C268,$D$4:$D$802)</x:f>
        <x:v>0.00569893392014015</x:v>
      </x:c>
      <x:c r="J268" s="103" t="n">
        <x:f>(D268/SUMIF($A$4:$A$802,A268,$D$4:$D$802))/(SUMIF($C$4:$C$802,C268,$D$4:$D$802)/SUM($D$4:$D$802))</x:f>
        <x:v>0.5998338809292175</x:v>
      </x:c>
    </x:row>
    <x:row r="269">
      <x:c r="A269" s="101" t="str">
        <x:v>富山県</x:v>
      </x:c>
      <x:c r="B269" s="101" t="str">
        <x:v>L</x:v>
      </x:c>
      <x:c r="C269" s="101" t="str">
        <x:v>学術研究，専門・技術サービス業</x:v>
      </x:c>
      <x:c r="D269" s="102" t="n">
        <x:v>1933</x:v>
      </x:c>
      <x:c r="E269" s="102" t="n">
        <x:f>1+COUNTIFS($C$4:$C$802,C269,$D$4:$D$802,"&gt;"&amp;D269)</x:f>
        <x:v>34</x:v>
      </x:c>
      <x:c r="F269" s="102" t="n">
        <x:v>1034814</x:v>
      </x:c>
      <x:c r="G269" s="126" t="n">
        <x:f>D269/F269*100000</x:f>
        <x:v>186.79685431391533</x:v>
      </x:c>
      <x:c r="H269" s="127" t="n">
        <x:f>1+COUNTIFS($C$4:$C$802,C269,$G$4:$G$802,"&gt;"&amp;G269)</x:f>
        <x:v>19</x:v>
      </x:c>
      <x:c r="I269" s="128" t="n">
        <x:f>D269/SUMIF($C$4:$C$802,C269,$D$4:$D$802)</x:f>
        <x:v>0.007660299595783467</x:v>
      </x:c>
      <x:c r="J269" s="103" t="n">
        <x:f>(D269/SUMIF($A$4:$A$802,A269,$D$4:$D$802))/(SUMIF($C$4:$C$802,C269,$D$4:$D$802)/SUM($D$4:$D$802))</x:f>
        <x:v>0.8062748752676034</x:v>
      </x:c>
    </x:row>
    <x:row r="270">
      <x:c r="A270" s="101" t="str">
        <x:v>富山県</x:v>
      </x:c>
      <x:c r="B270" s="101" t="str">
        <x:v>M</x:v>
      </x:c>
      <x:c r="C270" s="101" t="str">
        <x:v>宿泊業，飲食サービス業</x:v>
      </x:c>
      <x:c r="D270" s="102" t="n">
        <x:v>4886</x:v>
      </x:c>
      <x:c r="E270" s="102" t="n">
        <x:f>1+COUNTIFS($C$4:$C$802,C270,$D$4:$D$802,"&gt;"&amp;D270)</x:f>
        <x:v>39</x:v>
      </x:c>
      <x:c r="F270" s="102" t="n">
        <x:v>1034814</x:v>
      </x:c>
      <x:c r="G270" s="126" t="n">
        <x:f>D270/F270*100000</x:f>
        <x:v>472.1621470138595</x:v>
      </x:c>
      <x:c r="H270" s="127" t="n">
        <x:f>1+COUNTIFS($C$4:$C$802,C270,$G$4:$G$802,"&gt;"&amp;G270)</x:f>
        <x:v>32</x:v>
      </x:c>
      <x:c r="I270" s="128" t="n">
        <x:f>D270/SUMIF($C$4:$C$802,C270,$D$4:$D$802)</x:f>
        <x:v>0.008156138470732384</x:v>
      </x:c>
      <x:c r="J270" s="103" t="n">
        <x:f>(D270/SUMIF($A$4:$A$802,A270,$D$4:$D$802))/(SUMIF($C$4:$C$802,C270,$D$4:$D$802)/SUM($D$4:$D$802))</x:f>
        <x:v>0.8584637514405827</x:v>
      </x:c>
    </x:row>
    <x:row r="271">
      <x:c r="A271" s="101" t="str">
        <x:v>富山県</x:v>
      </x:c>
      <x:c r="B271" s="101" t="str">
        <x:v>N</x:v>
      </x:c>
      <x:c r="C271" s="101" t="str">
        <x:v>生活関連サービス業，娯楽業</x:v>
      </x:c>
      <x:c r="D271" s="102" t="n">
        <x:v>4426</x:v>
      </x:c>
      <x:c r="E271" s="102" t="n">
        <x:f>1+COUNTIFS($C$4:$C$802,C271,$D$4:$D$802,"&gt;"&amp;D271)</x:f>
        <x:v>36</x:v>
      </x:c>
      <x:c r="F271" s="102" t="n">
        <x:v>1034814</x:v>
      </x:c>
      <x:c r="G271" s="126" t="n">
        <x:f>D271/F271*100000</x:f>
        <x:v>427.70971401623865</x:v>
      </x:c>
      <x:c r="H271" s="127" t="n">
        <x:f>1+COUNTIFS($C$4:$C$802,C271,$G$4:$G$802,"&gt;"&amp;G271)</x:f>
        <x:v>14</x:v>
      </x:c>
      <x:c r="I271" s="128" t="n">
        <x:f>D271/SUMIF($C$4:$C$802,C271,$D$4:$D$802)</x:f>
        <x:v>0.010193247952023103</x:v>
      </x:c>
      <x:c r="J271" s="103" t="n">
        <x:f>(D271/SUMIF($A$4:$A$802,A271,$D$4:$D$802))/(SUMIF($C$4:$C$802,C271,$D$4:$D$802)/SUM($D$4:$D$802))</x:f>
        <x:v>1.072877061572501</x:v>
      </x:c>
    </x:row>
    <x:row r="272">
      <x:c r="A272" s="101" t="str">
        <x:v>富山県</x:v>
      </x:c>
      <x:c r="B272" s="101" t="str">
        <x:v>O</x:v>
      </x:c>
      <x:c r="C272" s="101" t="str">
        <x:v>教育，学習支援業</x:v>
      </x:c>
      <x:c r="D272" s="102" t="n">
        <x:v>1561</x:v>
      </x:c>
      <x:c r="E272" s="102" t="n">
        <x:f>1+COUNTIFS($C$4:$C$802,C272,$D$4:$D$802,"&gt;"&amp;D272)</x:f>
        <x:v>33</x:v>
      </x:c>
      <x:c r="F272" s="102" t="n">
        <x:v>1034814</x:v>
      </x:c>
      <x:c r="G272" s="126" t="n">
        <x:f>D272/F272*100000</x:f>
        <x:v>150.8483650201872</x:v>
      </x:c>
      <x:c r="H272" s="127" t="n">
        <x:f>1+COUNTIFS($C$4:$C$802,C272,$G$4:$G$802,"&gt;"&amp;G272)</x:f>
        <x:v>5</x:v>
      </x:c>
      <x:c r="I272" s="128" t="n">
        <x:f>D272/SUMIF($C$4:$C$802,C272,$D$4:$D$802)</x:f>
        <x:v>0.009555758247274374</x:v>
      </x:c>
      <x:c r="J272" s="103" t="n">
        <x:f>(D272/SUMIF($A$4:$A$802,A272,$D$4:$D$802))/(SUMIF($C$4:$C$802,C272,$D$4:$D$802)/SUM($D$4:$D$802))</x:f>
        <x:v>1.0057789114605151</x:v>
      </x:c>
    </x:row>
    <x:row r="273">
      <x:c r="A273" s="101" t="str">
        <x:v>富山県</x:v>
      </x:c>
      <x:c r="B273" s="101" t="str">
        <x:v>P</x:v>
      </x:c>
      <x:c r="C273" s="101" t="str">
        <x:v>医療，福祉</x:v>
      </x:c>
      <x:c r="D273" s="102" t="n">
        <x:v>3684</x:v>
      </x:c>
      <x:c r="E273" s="102" t="n">
        <x:f>1+COUNTIFS($C$4:$C$802,C273,$D$4:$D$802,"&gt;"&amp;D273)</x:f>
        <x:v>39</x:v>
      </x:c>
      <x:c r="F273" s="102" t="n">
        <x:v>1034814</x:v>
      </x:c>
      <x:c r="G273" s="126" t="n">
        <x:f>D273/F273*100000</x:f>
        <x:v>356.0060068765981</x:v>
      </x:c>
      <x:c r="H273" s="127" t="n">
        <x:f>1+COUNTIFS($C$4:$C$802,C273,$G$4:$G$802,"&gt;"&amp;G273)</x:f>
        <x:v>33</x:v>
      </x:c>
      <x:c r="I273" s="128" t="n">
        <x:f>D273/SUMIF($C$4:$C$802,C273,$D$4:$D$802)</x:f>
        <x:v>0.007964871543745176</x:v>
      </x:c>
      <x:c r="J273" s="103" t="n">
        <x:f>(D273/SUMIF($A$4:$A$802,A273,$D$4:$D$802))/(SUMIF($C$4:$C$802,C273,$D$4:$D$802)/SUM($D$4:$D$802))</x:f>
        <x:v>0.8383321996949676</x:v>
      </x:c>
    </x:row>
    <x:row r="274">
      <x:c r="A274" s="101" t="str">
        <x:v>富山県</x:v>
      </x:c>
      <x:c r="B274" s="101" t="str">
        <x:v>Q</x:v>
      </x:c>
      <x:c r="C274" s="101" t="str">
        <x:v>複合サービス事業</x:v>
      </x:c>
      <x:c r="D274" s="102" t="n">
        <x:v>399</x:v>
      </x:c>
      <x:c r="E274" s="102" t="n">
        <x:f>1+COUNTIFS($C$4:$C$802,C274,$D$4:$D$802,"&gt;"&amp;D274)</x:f>
        <x:v>38</x:v>
      </x:c>
      <x:c r="F274" s="102" t="n">
        <x:v>1034814</x:v>
      </x:c>
      <x:c r="G274" s="126" t="n">
        <x:f>D274/F274*100000</x:f>
        <x:v>38.55765383924068</x:v>
      </x:c>
      <x:c r="H274" s="127" t="n">
        <x:f>1+COUNTIFS($C$4:$C$802,C274,$G$4:$G$802,"&gt;"&amp;G274)</x:f>
        <x:v>23</x:v>
      </x:c>
      <x:c r="I274" s="128" t="n">
        <x:f>D274/SUMIF($C$4:$C$802,C274,$D$4:$D$802)</x:f>
        <x:v>0.012417914163891569</x:v>
      </x:c>
      <x:c r="J274" s="103" t="n">
        <x:f>(D274/SUMIF($A$4:$A$802,A274,$D$4:$D$802))/(SUMIF($C$4:$C$802,C274,$D$4:$D$802)/SUM($D$4:$D$802))</x:f>
        <x:v>1.3070314115503552</x:v>
      </x:c>
    </x:row>
    <x:row r="275">
      <x:c r="A275" s="101" t="str">
        <x:v>富山県</x:v>
      </x:c>
      <x:c r="B275" s="101" t="str">
        <x:v>R</x:v>
      </x:c>
      <x:c r="C275" s="101" t="str">
        <x:v>サービス業（他に分類されないもの）</x:v>
      </x:c>
      <x:c r="D275" s="102" t="n">
        <x:v>4207</x:v>
      </x:c>
      <x:c r="E275" s="102" t="n">
        <x:f>1+COUNTIFS($C$4:$C$802,C275,$D$4:$D$802,"&gt;"&amp;D275)</x:f>
        <x:v>31</x:v>
      </x:c>
      <x:c r="F275" s="102" t="n">
        <x:v>1034814</x:v>
      </x:c>
      <x:c r="G275" s="126" t="n">
        <x:f>D275/F275*100000</x:f>
        <x:v>406.5464904804149</x:v>
      </x:c>
      <x:c r="H275" s="127" t="n">
        <x:f>1+COUNTIFS($C$4:$C$802,C275,$G$4:$G$802,"&gt;"&amp;G275)</x:f>
        <x:v>5</x:v>
      </x:c>
      <x:c r="I275" s="128" t="n">
        <x:f>D275/SUMIF($C$4:$C$802,C275,$D$4:$D$802)</x:f>
        <x:v>0.01139453755565908</x:v>
      </x:c>
      <x:c r="J275" s="103" t="n">
        <x:f>(D275/SUMIF($A$4:$A$802,A275,$D$4:$D$802))/(SUMIF($C$4:$C$802,C275,$D$4:$D$802)/SUM($D$4:$D$802))</x:f>
        <x:v>1.1993172370801277</x:v>
      </x:c>
    </x:row>
    <x:row r="276">
      <x:c r="A276" s="101" t="str">
        <x:v>石川県</x:v>
      </x:c>
      <x:c r="B276" s="101" t="str">
        <x:v>AB</x:v>
      </x:c>
      <x:c r="C276" s="101" t="str">
        <x:v>農林漁業</x:v>
      </x:c>
      <x:c r="D276" s="102" t="n">
        <x:v>561</x:v>
      </x:c>
      <x:c r="E276" s="102" t="n">
        <x:f>1+COUNTIFS($C$4:$C$802,C276,$D$4:$D$802,"&gt;"&amp;D276)</x:f>
        <x:v>37</x:v>
      </x:c>
      <x:c r="F276" s="102" t="n">
        <x:v>1132526</x:v>
      </x:c>
      <x:c r="G276" s="126" t="n">
        <x:f>D276/F276*100000</x:f>
        <x:v>49.53528660710659</x:v>
      </x:c>
      <x:c r="H276" s="127" t="n">
        <x:f>1+COUNTIFS($C$4:$C$802,C276,$G$4:$G$802,"&gt;"&amp;G276)</x:f>
        <x:v>23</x:v>
      </x:c>
      <x:c r="I276" s="128" t="n">
        <x:f>D276/SUMIF($C$4:$C$802,C276,$D$4:$D$802)</x:f>
        <x:v>0.013213057609873286</x:v>
      </x:c>
      <x:c r="J276" s="103" t="n">
        <x:f>(D276/SUMIF($A$4:$A$802,A276,$D$4:$D$802))/(SUMIF($C$4:$C$802,C276,$D$4:$D$802)/SUM($D$4:$D$802))</x:f>
        <x:v>1.2071399517893597</x:v>
      </x:c>
    </x:row>
    <x:row r="277">
      <x:c r="A277" s="101" t="str">
        <x:v>石川県</x:v>
      </x:c>
      <x:c r="B277" s="101" t="str">
        <x:v>C</x:v>
      </x:c>
      <x:c r="C277" s="101" t="str">
        <x:v>鉱業，採石業，砂利採取業</x:v>
      </x:c>
      <x:c r="D277" s="102" t="n">
        <x:v>28</x:v>
      </x:c>
      <x:c r="E277" s="102" t="n">
        <x:f>1+COUNTIFS($C$4:$C$802,C277,$D$4:$D$802,"&gt;"&amp;D277)</x:f>
        <x:v>30</x:v>
      </x:c>
      <x:c r="F277" s="102" t="n">
        <x:v>1132526</x:v>
      </x:c>
      <x:c r="G277" s="126" t="n">
        <x:f>D277/F277*100000</x:f>
        <x:v>2.472349420675552</x:v>
      </x:c>
      <x:c r="H277" s="127" t="n">
        <x:f>1+COUNTIFS($C$4:$C$802,C277,$G$4:$G$802,"&gt;"&amp;G277)</x:f>
        <x:v>18</x:v>
      </x:c>
      <x:c r="I277" s="128" t="n">
        <x:f>D277/SUMIF($C$4:$C$802,C277,$D$4:$D$802)</x:f>
        <x:v>0.015013404825737266</x:v>
      </x:c>
      <x:c r="J277" s="103" t="n">
        <x:f>(D277/SUMIF($A$4:$A$802,A277,$D$4:$D$802))/(SUMIF($C$4:$C$802,C277,$D$4:$D$802)/SUM($D$4:$D$802))</x:f>
        <x:v>1.3716189933200802</x:v>
      </x:c>
    </x:row>
    <x:row r="278">
      <x:c r="A278" s="101" t="str">
        <x:v>石川県</x:v>
      </x:c>
      <x:c r="B278" s="101" t="str">
        <x:v>D</x:v>
      </x:c>
      <x:c r="C278" s="101" t="str">
        <x:v>建設業</x:v>
      </x:c>
      <x:c r="D278" s="102" t="n">
        <x:v>5808</x:v>
      </x:c>
      <x:c r="E278" s="102" t="n">
        <x:f>1+COUNTIFS($C$4:$C$802,C278,$D$4:$D$802,"&gt;"&amp;D278)</x:f>
        <x:v>27</x:v>
      </x:c>
      <x:c r="F278" s="102" t="n">
        <x:v>1132526</x:v>
      </x:c>
      <x:c r="G278" s="126" t="n">
        <x:f>D278/F278*100000</x:f>
        <x:v>512.835908402986</x:v>
      </x:c>
      <x:c r="H278" s="127" t="n">
        <x:f>1+COUNTIFS($C$4:$C$802,C278,$G$4:$G$802,"&gt;"&amp;G278)</x:f>
        <x:v>8</x:v>
      </x:c>
      <x:c r="I278" s="128" t="n">
        <x:f>D278/SUMIF($C$4:$C$802,C278,$D$4:$D$802)</x:f>
        <x:v>0.011971925340369175</x:v>
      </x:c>
      <x:c r="J278" s="103" t="n">
        <x:f>(D278/SUMIF($A$4:$A$802,A278,$D$4:$D$802))/(SUMIF($C$4:$C$802,C278,$D$4:$D$802)/SUM($D$4:$D$802))</x:f>
        <x:v>1.0937505765054825</x:v>
      </x:c>
    </x:row>
    <x:row r="279">
      <x:c r="A279" s="101" t="str">
        <x:v>石川県</x:v>
      </x:c>
      <x:c r="B279" s="101" t="str">
        <x:v>E</x:v>
      </x:c>
      <x:c r="C279" s="101" t="str">
        <x:v>製造業</x:v>
      </x:c>
      <x:c r="D279" s="102" t="n">
        <x:v>6328</x:v>
      </x:c>
      <x:c r="E279" s="102" t="n">
        <x:f>1+COUNTIFS($C$4:$C$802,C279,$D$4:$D$802,"&gt;"&amp;D279)</x:f>
        <x:v>22</x:v>
      </x:c>
      <x:c r="F279" s="102" t="n">
        <x:v>1132526</x:v>
      </x:c>
      <x:c r="G279" s="126" t="n">
        <x:f>D279/F279*100000</x:f>
        <x:v>558.7509690726747</x:v>
      </x:c>
      <x:c r="H279" s="127" t="n">
        <x:f>1+COUNTIFS($C$4:$C$802,C279,$G$4:$G$802,"&gt;"&amp;G279)</x:f>
        <x:v>3</x:v>
      </x:c>
      <x:c r="I279" s="128" t="n">
        <x:f>D279/SUMIF($C$4:$C$802,C279,$D$4:$D$802)</x:f>
        <x:v>0.015336256140682522</x:v>
      </x:c>
      <x:c r="J279" s="103" t="n">
        <x:f>(D279/SUMIF($A$4:$A$802,A279,$D$4:$D$802))/(SUMIF($C$4:$C$802,C279,$D$4:$D$802)/SUM($D$4:$D$802))</x:f>
        <x:v>1.401114567491113</x:v>
      </x:c>
    </x:row>
    <x:row r="280">
      <x:c r="A280" s="101" t="str">
        <x:v>石川県</x:v>
      </x:c>
      <x:c r="B280" s="101" t="str">
        <x:v>F</x:v>
      </x:c>
      <x:c r="C280" s="101" t="str">
        <x:v>電気・ガス・熱供給・水道業</x:v>
      </x:c>
      <x:c r="D280" s="102" t="n">
        <x:v>67</x:v>
      </x:c>
      <x:c r="E280" s="102" t="n">
        <x:f>1+COUNTIFS($C$4:$C$802,C280,$D$4:$D$802,"&gt;"&amp;D280)</x:f>
        <x:v>43</x:v>
      </x:c>
      <x:c r="F280" s="102" t="n">
        <x:v>1132526</x:v>
      </x:c>
      <x:c r="G280" s="126" t="n">
        <x:f>D280/F280*100000</x:f>
        <x:v>5.915978970902214</x:v>
      </x:c>
      <x:c r="H280" s="127" t="n">
        <x:f>1+COUNTIFS($C$4:$C$802,C280,$G$4:$G$802,"&gt;"&amp;G280)</x:f>
        <x:v>36</x:v>
      </x:c>
      <x:c r="I280" s="128" t="n">
        <x:f>D280/SUMIF($C$4:$C$802,C280,$D$4:$D$802)</x:f>
        <x:v>0.007331217857533647</x:v>
      </x:c>
      <x:c r="J280" s="103" t="n">
        <x:f>(D280/SUMIF($A$4:$A$802,A280,$D$4:$D$802))/(SUMIF($C$4:$C$802,C280,$D$4:$D$802)/SUM($D$4:$D$802))</x:f>
        <x:v>0.6697772939767973</x:v>
      </x:c>
    </x:row>
    <x:row r="281">
      <x:c r="A281" s="101" t="str">
        <x:v>石川県</x:v>
      </x:c>
      <x:c r="B281" s="101" t="str">
        <x:v>G</x:v>
      </x:c>
      <x:c r="C281" s="101" t="str">
        <x:v>情報通信業</x:v>
      </x:c>
      <x:c r="D281" s="102" t="n">
        <x:v>597</x:v>
      </x:c>
      <x:c r="E281" s="102" t="n">
        <x:f>1+COUNTIFS($C$4:$C$802,C281,$D$4:$D$802,"&gt;"&amp;D281)</x:f>
        <x:v>20</x:v>
      </x:c>
      <x:c r="F281" s="102" t="n">
        <x:v>1132526</x:v>
      </x:c>
      <x:c r="G281" s="126" t="n">
        <x:f>D281/F281*100000</x:f>
        <x:v>52.714021576546585</x:v>
      </x:c>
      <x:c r="H281" s="127" t="n">
        <x:f>1+COUNTIFS($C$4:$C$802,C281,$G$4:$G$802,"&gt;"&amp;G281)</x:f>
        <x:v>6</x:v>
      </x:c>
      <x:c r="I281" s="128" t="n">
        <x:f>D281/SUMIF($C$4:$C$802,C281,$D$4:$D$802)</x:f>
        <x:v>0.007797907496179417</x:v>
      </x:c>
      <x:c r="J281" s="103" t="n">
        <x:f>(D281/SUMIF($A$4:$A$802,A281,$D$4:$D$802))/(SUMIF($C$4:$C$802,C281,$D$4:$D$802)/SUM($D$4:$D$802))</x:f>
        <x:v>0.7124138830638294</x:v>
      </x:c>
    </x:row>
    <x:row r="282">
      <x:c r="A282" s="101" t="str">
        <x:v>石川県</x:v>
      </x:c>
      <x:c r="B282" s="101" t="str">
        <x:v>H</x:v>
      </x:c>
      <x:c r="C282" s="101" t="str">
        <x:v>運輸業，郵便業</x:v>
      </x:c>
      <x:c r="D282" s="102" t="n">
        <x:v>1278</x:v>
      </x:c>
      <x:c r="E282" s="102" t="n">
        <x:f>1+COUNTIFS($C$4:$C$802,C282,$D$4:$D$802,"&gt;"&amp;D282)</x:f>
        <x:v>32</x:v>
      </x:c>
      <x:c r="F282" s="102" t="n">
        <x:v>1132526</x:v>
      </x:c>
      <x:c r="G282" s="126" t="n">
        <x:f>D282/F282*100000</x:f>
        <x:v>112.84509141511984</x:v>
      </x:c>
      <x:c r="H282" s="127" t="n">
        <x:f>1+COUNTIFS($C$4:$C$802,C282,$G$4:$G$802,"&gt;"&amp;G282)</x:f>
        <x:v>10</x:v>
      </x:c>
      <x:c r="I282" s="128" t="n">
        <x:f>D282/SUMIF($C$4:$C$802,C282,$D$4:$D$802)</x:f>
        <x:v>0.009966932867481907</x:v>
      </x:c>
      <x:c r="J282" s="103" t="n">
        <x:f>(D282/SUMIF($A$4:$A$802,A282,$D$4:$D$802))/(SUMIF($C$4:$C$802,C282,$D$4:$D$802)/SUM($D$4:$D$802))</x:f>
        <x:v>0.9105752216012079</x:v>
      </x:c>
    </x:row>
    <x:row r="283">
      <x:c r="A283" s="101" t="str">
        <x:v>石川県</x:v>
      </x:c>
      <x:c r="B283" s="101" t="str">
        <x:v>I</x:v>
      </x:c>
      <x:c r="C283" s="101" t="str">
        <x:v>卸売業，小売業</x:v>
      </x:c>
      <x:c r="D283" s="102" t="n">
        <x:v>13686</x:v>
      </x:c>
      <x:c r="E283" s="102" t="n">
        <x:f>1+COUNTIFS($C$4:$C$802,C283,$D$4:$D$802,"&gt;"&amp;D283)</x:f>
        <x:v>30</x:v>
      </x:c>
      <x:c r="F283" s="102" t="n">
        <x:v>1132526</x:v>
      </x:c>
      <x:c r="G283" s="126" t="n">
        <x:f>D283/F283*100000</x:f>
        <x:v>1208.4490775487716</x:v>
      </x:c>
      <x:c r="H283" s="127" t="n">
        <x:f>1+COUNTIFS($C$4:$C$802,C283,$G$4:$G$802,"&gt;"&amp;G283)</x:f>
        <x:v>5</x:v>
      </x:c>
      <x:c r="I283" s="128" t="n">
        <x:f>D283/SUMIF($C$4:$C$802,C283,$D$4:$D$802)</x:f>
        <x:v>0.011136607753149107</x:v>
      </x:c>
      <x:c r="J283" s="103" t="n">
        <x:f>(D283/SUMIF($A$4:$A$802,A283,$D$4:$D$802))/(SUMIF($C$4:$C$802,C283,$D$4:$D$802)/SUM($D$4:$D$802))</x:f>
        <x:v>1.0174362772919403</x:v>
      </x:c>
    </x:row>
    <x:row r="284">
      <x:c r="A284" s="101" t="str">
        <x:v>石川県</x:v>
      </x:c>
      <x:c r="B284" s="101" t="str">
        <x:v>J</x:v>
      </x:c>
      <x:c r="C284" s="101" t="str">
        <x:v>金融業，保険業</x:v>
      </x:c>
      <x:c r="D284" s="102" t="n">
        <x:v>955</x:v>
      </x:c>
      <x:c r="E284" s="102" t="n">
        <x:f>1+COUNTIFS($C$4:$C$802,C284,$D$4:$D$802,"&gt;"&amp;D284)</x:f>
        <x:v>29</x:v>
      </x:c>
      <x:c r="F284" s="102" t="n">
        <x:v>1132526</x:v>
      </x:c>
      <x:c r="G284" s="126" t="n">
        <x:f>D284/F284*100000</x:f>
        <x:v>84.32477488375542</x:v>
      </x:c>
      <x:c r="H284" s="127" t="n">
        <x:f>1+COUNTIFS($C$4:$C$802,C284,$G$4:$G$802,"&gt;"&amp;G284)</x:f>
        <x:v>9</x:v>
      </x:c>
      <x:c r="I284" s="128" t="n">
        <x:f>D284/SUMIF($C$4:$C$802,C284,$D$4:$D$802)</x:f>
        <x:v>0.011389114153508562</x:v>
      </x:c>
      <x:c r="J284" s="103" t="n">
        <x:f>(D284/SUMIF($A$4:$A$802,A284,$D$4:$D$802))/(SUMIF($C$4:$C$802,C284,$D$4:$D$802)/SUM($D$4:$D$802))</x:f>
        <x:v>1.040505166640357</x:v>
      </x:c>
    </x:row>
    <x:row r="285">
      <x:c r="A285" s="101" t="str">
        <x:v>石川県</x:v>
      </x:c>
      <x:c r="B285" s="101" t="str">
        <x:v>K</x:v>
      </x:c>
      <x:c r="C285" s="101" t="str">
        <x:v>不動産業，物品賃貸業</x:v>
      </x:c>
      <x:c r="D285" s="102" t="n">
        <x:v>2915</x:v>
      </x:c>
      <x:c r="E285" s="102" t="n">
        <x:f>1+COUNTIFS($C$4:$C$802,C285,$D$4:$D$802,"&gt;"&amp;D285)</x:f>
        <x:v>34</x:v>
      </x:c>
      <x:c r="F285" s="102" t="n">
        <x:v>1132526</x:v>
      </x:c>
      <x:c r="G285" s="126" t="n">
        <x:f>D285/F285*100000</x:f>
        <x:v>257.389234331044</x:v>
      </x:c>
      <x:c r="H285" s="127" t="n">
        <x:f>1+COUNTIFS($C$4:$C$802,C285,$G$4:$G$802,"&gt;"&amp;G285)</x:f>
        <x:v>24</x:v>
      </x:c>
      <x:c r="I285" s="128" t="n">
        <x:f>D285/SUMIF($C$4:$C$802,C285,$D$4:$D$802)</x:f>
        <x:v>0.007784626231119277</x:v>
      </x:c>
      <x:c r="J285" s="103" t="n">
        <x:f>(D285/SUMIF($A$4:$A$802,A285,$D$4:$D$802))/(SUMIF($C$4:$C$802,C285,$D$4:$D$802)/SUM($D$4:$D$802))</x:f>
        <x:v>0.71120051170515</x:v>
      </x:c>
    </x:row>
    <x:row r="286">
      <x:c r="A286" s="101" t="str">
        <x:v>石川県</x:v>
      </x:c>
      <x:c r="B286" s="101" t="str">
        <x:v>L</x:v>
      </x:c>
      <x:c r="C286" s="101" t="str">
        <x:v>学術研究，専門・技術サービス業</x:v>
      </x:c>
      <x:c r="D286" s="102" t="n">
        <x:v>2436</x:v>
      </x:c>
      <x:c r="E286" s="102" t="n">
        <x:f>1+COUNTIFS($C$4:$C$802,C286,$D$4:$D$802,"&gt;"&amp;D286)</x:f>
        <x:v>26</x:v>
      </x:c>
      <x:c r="F286" s="102" t="n">
        <x:v>1132526</x:v>
      </x:c>
      <x:c r="G286" s="126" t="n">
        <x:f>D286/F286*100000</x:f>
        <x:v>215.094399598773</x:v>
      </x:c>
      <x:c r="H286" s="127" t="n">
        <x:f>1+COUNTIFS($C$4:$C$802,C286,$G$4:$G$802,"&gt;"&amp;G286)</x:f>
        <x:v>3</x:v>
      </x:c>
      <x:c r="I286" s="128" t="n">
        <x:f>D286/SUMIF($C$4:$C$802,C286,$D$4:$D$802)</x:f>
        <x:v>0.009653641911706428</x:v>
      </x:c>
      <x:c r="J286" s="103" t="n">
        <x:f>(D286/SUMIF($A$4:$A$802,A286,$D$4:$D$802))/(SUMIF($C$4:$C$802,C286,$D$4:$D$802)/SUM($D$4:$D$802))</x:f>
        <x:v>0.8819530782323437</x:v>
      </x:c>
    </x:row>
    <x:row r="287">
      <x:c r="A287" s="101" t="str">
        <x:v>石川県</x:v>
      </x:c>
      <x:c r="B287" s="101" t="str">
        <x:v>M</x:v>
      </x:c>
      <x:c r="C287" s="101" t="str">
        <x:v>宿泊業，飲食サービス業</x:v>
      </x:c>
      <x:c r="D287" s="102" t="n">
        <x:v>6452</x:v>
      </x:c>
      <x:c r="E287" s="102" t="n">
        <x:f>1+COUNTIFS($C$4:$C$802,C287,$D$4:$D$802,"&gt;"&amp;D287)</x:f>
        <x:v>30</x:v>
      </x:c>
      <x:c r="F287" s="102" t="n">
        <x:v>1132526</x:v>
      </x:c>
      <x:c r="G287" s="126" t="n">
        <x:f>D287/F287*100000</x:f>
        <x:v>569.6999450785236</x:v>
      </x:c>
      <x:c r="H287" s="127" t="n">
        <x:f>1+COUNTIFS($C$4:$C$802,C287,$G$4:$G$802,"&gt;"&amp;G287)</x:f>
        <x:v>7</x:v>
      </x:c>
      <x:c r="I287" s="128" t="n">
        <x:f>D287/SUMIF($C$4:$C$802,C287,$D$4:$D$802)</x:f>
        <x:v>0.010770242614237686</x:v>
      </x:c>
      <x:c r="J287" s="103" t="n">
        <x:f>(D287/SUMIF($A$4:$A$802,A287,$D$4:$D$802))/(SUMIF($C$4:$C$802,C287,$D$4:$D$802)/SUM($D$4:$D$802))</x:f>
        <x:v>0.9839652966014176</x:v>
      </x:c>
    </x:row>
    <x:row r="288">
      <x:c r="A288" s="101" t="str">
        <x:v>石川県</x:v>
      </x:c>
      <x:c r="B288" s="101" t="str">
        <x:v>N</x:v>
      </x:c>
      <x:c r="C288" s="101" t="str">
        <x:v>生活関連サービス業，娯楽業</x:v>
      </x:c>
      <x:c r="D288" s="102" t="n">
        <x:v>4701</x:v>
      </x:c>
      <x:c r="E288" s="102" t="n">
        <x:f>1+COUNTIFS($C$4:$C$802,C288,$D$4:$D$802,"&gt;"&amp;D288)</x:f>
        <x:v>34</x:v>
      </x:c>
      <x:c r="F288" s="102" t="n">
        <x:v>1132526</x:v>
      </x:c>
      <x:c r="G288" s="126" t="n">
        <x:f>D288/F288*100000</x:f>
        <x:v>415.08980809270605</x:v>
      </x:c>
      <x:c r="H288" s="127" t="n">
        <x:f>1+COUNTIFS($C$4:$C$802,C288,$G$4:$G$802,"&gt;"&amp;G288)</x:f>
        <x:v>17</x:v>
      </x:c>
      <x:c r="I288" s="128" t="n">
        <x:f>D288/SUMIF($C$4:$C$802,C288,$D$4:$D$802)</x:f>
        <x:v>0.01082658351162689</x:v>
      </x:c>
      <x:c r="J288" s="103" t="n">
        <x:f>(D288/SUMIF($A$4:$A$802,A288,$D$4:$D$802))/(SUMIF($C$4:$C$802,C288,$D$4:$D$802)/SUM($D$4:$D$802))</x:f>
        <x:v>0.9891125797031995</x:v>
      </x:c>
    </x:row>
    <x:row r="289">
      <x:c r="A289" s="101" t="str">
        <x:v>石川県</x:v>
      </x:c>
      <x:c r="B289" s="101" t="str">
        <x:v>O</x:v>
      </x:c>
      <x:c r="C289" s="101" t="str">
        <x:v>教育，学習支援業</x:v>
      </x:c>
      <x:c r="D289" s="102" t="n">
        <x:v>1819</x:v>
      </x:c>
      <x:c r="E289" s="102" t="n">
        <x:f>1+COUNTIFS($C$4:$C$802,C289,$D$4:$D$802,"&gt;"&amp;D289)</x:f>
        <x:v>27</x:v>
      </x:c>
      <x:c r="F289" s="102" t="n">
        <x:v>1132526</x:v>
      </x:c>
      <x:c r="G289" s="126" t="n">
        <x:f>D289/F289*100000</x:f>
        <x:v>160.6144141503153</x:v>
      </x:c>
      <x:c r="H289" s="127" t="n">
        <x:f>1+COUNTIFS($C$4:$C$802,C289,$G$4:$G$802,"&gt;"&amp;G289)</x:f>
        <x:v>2</x:v>
      </x:c>
      <x:c r="I289" s="128" t="n">
        <x:f>D289/SUMIF($C$4:$C$802,C289,$D$4:$D$802)</x:f>
        <x:v>0.011135121237534969</x:v>
      </x:c>
      <x:c r="J289" s="103" t="n">
        <x:f>(D289/SUMIF($A$4:$A$802,A289,$D$4:$D$802))/(SUMIF($C$4:$C$802,C289,$D$4:$D$802)/SUM($D$4:$D$802))</x:f>
        <x:v>1.0173004697869885</x:v>
      </x:c>
    </x:row>
    <x:row r="290">
      <x:c r="A290" s="101" t="str">
        <x:v>石川県</x:v>
      </x:c>
      <x:c r="B290" s="101" t="str">
        <x:v>P</x:v>
      </x:c>
      <x:c r="C290" s="101" t="str">
        <x:v>医療，福祉</x:v>
      </x:c>
      <x:c r="D290" s="102" t="n">
        <x:v>3969</x:v>
      </x:c>
      <x:c r="E290" s="102" t="n">
        <x:f>1+COUNTIFS($C$4:$C$802,C290,$D$4:$D$802,"&gt;"&amp;D290)</x:f>
        <x:v>37</x:v>
      </x:c>
      <x:c r="F290" s="102" t="n">
        <x:v>1132526</x:v>
      </x:c>
      <x:c r="G290" s="126" t="n">
        <x:f>D290/F290*100000</x:f>
        <x:v>350.4555303807595</x:v>
      </x:c>
      <x:c r="H290" s="127" t="n">
        <x:f>1+COUNTIFS($C$4:$C$802,C290,$G$4:$G$802,"&gt;"&amp;G290)</x:f>
        <x:v>37</x:v>
      </x:c>
      <x:c r="I290" s="128" t="n">
        <x:f>D290/SUMIF($C$4:$C$802,C290,$D$4:$D$802)</x:f>
        <x:v>0.008581046459588654</x:v>
      </x:c>
      <x:c r="J290" s="103" t="n">
        <x:f>(D290/SUMIF($A$4:$A$802,A290,$D$4:$D$802))/(SUMIF($C$4:$C$802,C290,$D$4:$D$802)/SUM($D$4:$D$802))</x:f>
        <x:v>0.7839611629173424</x:v>
      </x:c>
    </x:row>
    <x:row r="291">
      <x:c r="A291" s="101" t="str">
        <x:v>石川県</x:v>
      </x:c>
      <x:c r="B291" s="101" t="str">
        <x:v>Q</x:v>
      </x:c>
      <x:c r="C291" s="101" t="str">
        <x:v>複合サービス事業</x:v>
      </x:c>
      <x:c r="D291" s="102" t="n">
        <x:v>428</x:v>
      </x:c>
      <x:c r="E291" s="102" t="n">
        <x:f>1+COUNTIFS($C$4:$C$802,C291,$D$4:$D$802,"&gt;"&amp;D291)</x:f>
        <x:v>35</x:v>
      </x:c>
      <x:c r="F291" s="102" t="n">
        <x:v>1132526</x:v>
      </x:c>
      <x:c r="G291" s="126" t="n">
        <x:f>D291/F291*100000</x:f>
        <x:v>37.791626858897715</x:v>
      </x:c>
      <x:c r="H291" s="127" t="n">
        <x:f>1+COUNTIFS($C$4:$C$802,C291,$G$4:$G$802,"&gt;"&amp;G291)</x:f>
        <x:v>24</x:v>
      </x:c>
      <x:c r="I291" s="128" t="n">
        <x:f>D291/SUMIF($C$4:$C$802,C291,$D$4:$D$802)</x:f>
        <x:v>0.013320469328685693</x:v>
      </x:c>
      <x:c r="J291" s="103" t="n">
        <x:f>(D291/SUMIF($A$4:$A$802,A291,$D$4:$D$802))/(SUMIF($C$4:$C$802,C291,$D$4:$D$802)/SUM($D$4:$D$802))</x:f>
        <x:v>1.2169530458435271</x:v>
      </x:c>
    </x:row>
    <x:row r="292">
      <x:c r="A292" s="101" t="str">
        <x:v>石川県</x:v>
      </x:c>
      <x:c r="B292" s="101" t="str">
        <x:v>R</x:v>
      </x:c>
      <x:c r="C292" s="101" t="str">
        <x:v>サービス業（他に分類されないもの）</x:v>
      </x:c>
      <x:c r="D292" s="102" t="n">
        <x:v>4409</x:v>
      </x:c>
      <x:c r="E292" s="102" t="n">
        <x:f>1+COUNTIFS($C$4:$C$802,C292,$D$4:$D$802,"&gt;"&amp;D292)</x:f>
        <x:v>29</x:v>
      </x:c>
      <x:c r="F292" s="102" t="n">
        <x:v>1132526</x:v>
      </x:c>
      <x:c r="G292" s="126" t="n">
        <x:f>D292/F292*100000</x:f>
        <x:v>389.30673556280385</x:v>
      </x:c>
      <x:c r="H292" s="127" t="n">
        <x:f>1+COUNTIFS($C$4:$C$802,C292,$G$4:$G$802,"&gt;"&amp;G292)</x:f>
        <x:v>9</x:v>
      </x:c>
      <x:c r="I292" s="128" t="n">
        <x:f>D292/SUMIF($C$4:$C$802,C292,$D$4:$D$802)</x:f>
        <x:v>0.011941648700475607</x:v>
      </x:c>
      <x:c r="J292" s="103" t="n">
        <x:f>(D292/SUMIF($A$4:$A$802,A292,$D$4:$D$802))/(SUMIF($C$4:$C$802,C292,$D$4:$D$802)/SUM($D$4:$D$802))</x:f>
        <x:v>1.0909845141223022</x:v>
      </x:c>
    </x:row>
    <x:row r="293">
      <x:c r="A293" s="101" t="str">
        <x:v>福井県</x:v>
      </x:c>
      <x:c r="B293" s="101" t="str">
        <x:v>AB</x:v>
      </x:c>
      <x:c r="C293" s="101" t="str">
        <x:v>農林漁業</x:v>
      </x:c>
      <x:c r="D293" s="102" t="n">
        <x:v>540</x:v>
      </x:c>
      <x:c r="E293" s="102" t="n">
        <x:f>1+COUNTIFS($C$4:$C$802,C293,$D$4:$D$802,"&gt;"&amp;D293)</x:f>
        <x:v>38</x:v>
      </x:c>
      <x:c r="F293" s="102" t="n">
        <x:v>766863</x:v>
      </x:c>
      <x:c r="G293" s="126" t="n">
        <x:f>D293/F293*100000</x:f>
        <x:v>70.41674979755184</x:v>
      </x:c>
      <x:c r="H293" s="127" t="n">
        <x:f>1+COUNTIFS($C$4:$C$802,C293,$G$4:$G$802,"&gt;"&amp;G293)</x:f>
        <x:v>12</x:v>
      </x:c>
      <x:c r="I293" s="128" t="n">
        <x:f>D293/SUMIF($C$4:$C$802,C293,$D$4:$D$802)</x:f>
        <x:v>0.012718451175279099</x:v>
      </x:c>
      <x:c r="J293" s="103" t="n">
        <x:f>(D293/SUMIF($A$4:$A$802,A293,$D$4:$D$802))/(SUMIF($C$4:$C$802,C293,$D$4:$D$802)/SUM($D$4:$D$802))</x:f>
        <x:v>1.6452278161058502</x:v>
      </x:c>
    </x:row>
    <x:row r="294">
      <x:c r="A294" s="101" t="str">
        <x:v>福井県</x:v>
      </x:c>
      <x:c r="B294" s="101" t="str">
        <x:v>C</x:v>
      </x:c>
      <x:c r="C294" s="101" t="str">
        <x:v>鉱業，採石業，砂利採取業</x:v>
      </x:c>
      <x:c r="D294" s="102" t="n">
        <x:v>16</x:v>
      </x:c>
      <x:c r="E294" s="102" t="n">
        <x:f>1+COUNTIFS($C$4:$C$802,C294,$D$4:$D$802,"&gt;"&amp;D294)</x:f>
        <x:v>42</x:v>
      </x:c>
      <x:c r="F294" s="102" t="n">
        <x:v>766863</x:v>
      </x:c>
      <x:c r="G294" s="126" t="n">
        <x:f>D294/F294*100000</x:f>
        <x:v>2.0864222162237582</x:v>
      </x:c>
      <x:c r="H294" s="127" t="n">
        <x:f>1+COUNTIFS($C$4:$C$802,C294,$G$4:$G$802,"&gt;"&amp;G294)</x:f>
        <x:v>27</x:v>
      </x:c>
      <x:c r="I294" s="128" t="n">
        <x:f>D294/SUMIF($C$4:$C$802,C294,$D$4:$D$802)</x:f>
        <x:v>0.008579088471849867</x:v>
      </x:c>
      <x:c r="J294" s="103" t="n">
        <x:f>(D294/SUMIF($A$4:$A$802,A294,$D$4:$D$802))/(SUMIF($C$4:$C$802,C294,$D$4:$D$802)/SUM($D$4:$D$802))</x:f>
        <x:v>1.1097699551777926</x:v>
      </x:c>
    </x:row>
    <x:row r="295">
      <x:c r="A295" s="101" t="str">
        <x:v>福井県</x:v>
      </x:c>
      <x:c r="B295" s="101" t="str">
        <x:v>D</x:v>
      </x:c>
      <x:c r="C295" s="101" t="str">
        <x:v>建設業</x:v>
      </x:c>
      <x:c r="D295" s="102" t="n">
        <x:v>4521</x:v>
      </x:c>
      <x:c r="E295" s="102" t="n">
        <x:f>1+COUNTIFS($C$4:$C$802,C295,$D$4:$D$802,"&gt;"&amp;D295)</x:f>
        <x:v>38</x:v>
      </x:c>
      <x:c r="F295" s="102" t="n">
        <x:v>766863</x:v>
      </x:c>
      <x:c r="G295" s="126" t="n">
        <x:f>D295/F295*100000</x:f>
        <x:v>589.5446774717257</x:v>
      </x:c>
      <x:c r="H295" s="127" t="n">
        <x:f>1+COUNTIFS($C$4:$C$802,C295,$G$4:$G$802,"&gt;"&amp;G295)</x:f>
        <x:v>1</x:v>
      </x:c>
      <x:c r="I295" s="128" t="n">
        <x:f>D295/SUMIF($C$4:$C$802,C295,$D$4:$D$802)</x:f>
        <x:v>0.009319055520628278</x:v>
      </x:c>
      <x:c r="J295" s="103" t="n">
        <x:f>(D295/SUMIF($A$4:$A$802,A295,$D$4:$D$802))/(SUMIF($C$4:$C$802,C295,$D$4:$D$802)/SUM($D$4:$D$802))</x:f>
        <x:v>1.2054902873844604</x:v>
      </x:c>
    </x:row>
    <x:row r="296">
      <x:c r="A296" s="101" t="str">
        <x:v>福井県</x:v>
      </x:c>
      <x:c r="B296" s="101" t="str">
        <x:v>E</x:v>
      </x:c>
      <x:c r="C296" s="101" t="str">
        <x:v>製造業</x:v>
      </x:c>
      <x:c r="D296" s="102" t="n">
        <x:v>4746</x:v>
      </x:c>
      <x:c r="E296" s="102" t="n">
        <x:f>1+COUNTIFS($C$4:$C$802,C296,$D$4:$D$802,"&gt;"&amp;D296)</x:f>
        <x:v>25</x:v>
      </x:c>
      <x:c r="F296" s="102" t="n">
        <x:v>766863</x:v>
      </x:c>
      <x:c r="G296" s="126" t="n">
        <x:f>D296/F296*100000</x:f>
        <x:v>618.8849898873724</x:v>
      </x:c>
      <x:c r="H296" s="127" t="n">
        <x:f>1+COUNTIFS($C$4:$C$802,C296,$G$4:$G$802,"&gt;"&amp;G296)</x:f>
        <x:v>1</x:v>
      </x:c>
      <x:c r="I296" s="128" t="n">
        <x:f>D296/SUMIF($C$4:$C$802,C296,$D$4:$D$802)</x:f>
        <x:v>0.01150219210551189</x:v>
      </x:c>
      <x:c r="J296" s="103" t="n">
        <x:f>(D296/SUMIF($A$4:$A$802,A296,$D$4:$D$802))/(SUMIF($C$4:$C$802,C296,$D$4:$D$802)/SUM($D$4:$D$802))</x:f>
        <x:v>1.4878955100258902</x:v>
      </x:c>
    </x:row>
    <x:row r="297">
      <x:c r="A297" s="101" t="str">
        <x:v>福井県</x:v>
      </x:c>
      <x:c r="B297" s="101" t="str">
        <x:v>F</x:v>
      </x:c>
      <x:c r="C297" s="101" t="str">
        <x:v>電気・ガス・熱供給・水道業</x:v>
      </x:c>
      <x:c r="D297" s="102" t="n">
        <x:v>51</x:v>
      </x:c>
      <x:c r="E297" s="102" t="n">
        <x:f>1+COUNTIFS($C$4:$C$802,C297,$D$4:$D$802,"&gt;"&amp;D297)</x:f>
        <x:v>46</x:v>
      </x:c>
      <x:c r="F297" s="102" t="n">
        <x:v>766863</x:v>
      </x:c>
      <x:c r="G297" s="126" t="n">
        <x:f>D297/F297*100000</x:f>
        <x:v>6.65047081421323</x:v>
      </x:c>
      <x:c r="H297" s="127" t="n">
        <x:f>1+COUNTIFS($C$4:$C$802,C297,$G$4:$G$802,"&gt;"&amp;G297)</x:f>
        <x:v>35</x:v>
      </x:c>
      <x:c r="I297" s="128" t="n">
        <x:f>D297/SUMIF($C$4:$C$802,C297,$D$4:$D$802)</x:f>
        <x:v>0.005580479264689791</x:v>
      </x:c>
      <x:c r="J297" s="103" t="n">
        <x:f>(D297/SUMIF($A$4:$A$802,A297,$D$4:$D$802))/(SUMIF($C$4:$C$802,C297,$D$4:$D$802)/SUM($D$4:$D$802))</x:f>
        <x:v>0.7218771835453534</x:v>
      </x:c>
    </x:row>
    <x:row r="298">
      <x:c r="A298" s="101" t="str">
        <x:v>福井県</x:v>
      </x:c>
      <x:c r="B298" s="101" t="str">
        <x:v>G</x:v>
      </x:c>
      <x:c r="C298" s="101" t="str">
        <x:v>情報通信業</x:v>
      </x:c>
      <x:c r="D298" s="102" t="n">
        <x:v>341</x:v>
      </x:c>
      <x:c r="E298" s="102" t="n">
        <x:f>1+COUNTIFS($C$4:$C$802,C298,$D$4:$D$802,"&gt;"&amp;D298)</x:f>
        <x:v>37</x:v>
      </x:c>
      <x:c r="F298" s="102" t="n">
        <x:v>766863</x:v>
      </x:c>
      <x:c r="G298" s="126" t="n">
        <x:f>D298/F298*100000</x:f>
        <x:v>44.46687348326885</x:v>
      </x:c>
      <x:c r="H298" s="127" t="n">
        <x:f>1+COUNTIFS($C$4:$C$802,C298,$G$4:$G$802,"&gt;"&amp;G298)</x:f>
        <x:v>13</x:v>
      </x:c>
      <x:c r="I298" s="128" t="n">
        <x:f>D298/SUMIF($C$4:$C$802,C298,$D$4:$D$802)</x:f>
        <x:v>0.004454081166159433</x:v>
      </x:c>
      <x:c r="J298" s="103" t="n">
        <x:f>(D298/SUMIF($A$4:$A$802,A298,$D$4:$D$802))/(SUMIF($C$4:$C$802,C298,$D$4:$D$802)/SUM($D$4:$D$802))</x:f>
        <x:v>0.576169073479804</x:v>
      </x:c>
    </x:row>
    <x:row r="299">
      <x:c r="A299" s="101" t="str">
        <x:v>福井県</x:v>
      </x:c>
      <x:c r="B299" s="101" t="str">
        <x:v>H</x:v>
      </x:c>
      <x:c r="C299" s="101" t="str">
        <x:v>運輸業，郵便業</x:v>
      </x:c>
      <x:c r="D299" s="102" t="n">
        <x:v>847</x:v>
      </x:c>
      <x:c r="E299" s="102" t="n">
        <x:f>1+COUNTIFS($C$4:$C$802,C299,$D$4:$D$802,"&gt;"&amp;D299)</x:f>
        <x:v>41</x:v>
      </x:c>
      <x:c r="F299" s="102" t="n">
        <x:v>766863</x:v>
      </x:c>
      <x:c r="G299" s="126" t="n">
        <x:f>D299/F299*100000</x:f>
        <x:v>110.44997607134519</x:v>
      </x:c>
      <x:c r="H299" s="127" t="n">
        <x:f>1+COUNTIFS($C$4:$C$802,C299,$G$4:$G$802,"&gt;"&amp;G299)</x:f>
        <x:v>13</x:v>
      </x:c>
      <x:c r="I299" s="128" t="n">
        <x:f>D299/SUMIF($C$4:$C$802,C299,$D$4:$D$802)</x:f>
        <x:v>0.006605627651609683</x:v>
      </x:c>
      <x:c r="J299" s="103" t="n">
        <x:f>(D299/SUMIF($A$4:$A$802,A299,$D$4:$D$802))/(SUMIF($C$4:$C$802,C299,$D$4:$D$802)/SUM($D$4:$D$802))</x:f>
        <x:v>0.8544878779257277</x:v>
      </x:c>
    </x:row>
    <x:row r="300">
      <x:c r="A300" s="101" t="str">
        <x:v>福井県</x:v>
      </x:c>
      <x:c r="B300" s="101" t="str">
        <x:v>I</x:v>
      </x:c>
      <x:c r="C300" s="101" t="str">
        <x:v>卸売業，小売業</x:v>
      </x:c>
      <x:c r="D300" s="102" t="n">
        <x:v>9510</x:v>
      </x:c>
      <x:c r="E300" s="102" t="n">
        <x:f>1+COUNTIFS($C$4:$C$802,C300,$D$4:$D$802,"&gt;"&amp;D300)</x:f>
        <x:v>41</x:v>
      </x:c>
      <x:c r="F300" s="102" t="n">
        <x:v>766863</x:v>
      </x:c>
      <x:c r="G300" s="126" t="n">
        <x:f>D300/F300*100000</x:f>
        <x:v>1240.1172047679963</x:v>
      </x:c>
      <x:c r="H300" s="127" t="n">
        <x:f>1+COUNTIFS($C$4:$C$802,C300,$G$4:$G$802,"&gt;"&amp;G300)</x:f>
        <x:v>2</x:v>
      </x:c>
      <x:c r="I300" s="128" t="n">
        <x:f>D300/SUMIF($C$4:$C$802,C300,$D$4:$D$802)</x:f>
        <x:v>0.007738502099404355</x:v>
      </x:c>
      <x:c r="J300" s="103" t="n">
        <x:f>(D300/SUMIF($A$4:$A$802,A300,$D$4:$D$802))/(SUMIF($C$4:$C$802,C300,$D$4:$D$802)/SUM($D$4:$D$802))</x:f>
        <x:v>1.0010337527324096</x:v>
      </x:c>
    </x:row>
    <x:row r="301">
      <x:c r="A301" s="101" t="str">
        <x:v>福井県</x:v>
      </x:c>
      <x:c r="B301" s="101" t="str">
        <x:v>J</x:v>
      </x:c>
      <x:c r="C301" s="101" t="str">
        <x:v>金融業，保険業</x:v>
      </x:c>
      <x:c r="D301" s="102" t="n">
        <x:v>726</x:v>
      </x:c>
      <x:c r="E301" s="102" t="n">
        <x:f>1+COUNTIFS($C$4:$C$802,C301,$D$4:$D$802,"&gt;"&amp;D301)</x:f>
        <x:v>39</x:v>
      </x:c>
      <x:c r="F301" s="102" t="n">
        <x:v>766863</x:v>
      </x:c>
      <x:c r="G301" s="126" t="n">
        <x:f>D301/F301*100000</x:f>
        <x:v>94.67140806115303</x:v>
      </x:c>
      <x:c r="H301" s="127" t="n">
        <x:f>1+COUNTIFS($C$4:$C$802,C301,$G$4:$G$802,"&gt;"&amp;G301)</x:f>
        <x:v>1</x:v>
      </x:c>
      <x:c r="I301" s="128" t="n">
        <x:f>D301/SUMIF($C$4:$C$802,C301,$D$4:$D$802)</x:f>
        <x:v>0.008658111911463054</x:v>
      </x:c>
      <x:c r="J301" s="103" t="n">
        <x:f>(D301/SUMIF($A$4:$A$802,A301,$D$4:$D$802))/(SUMIF($C$4:$C$802,C301,$D$4:$D$802)/SUM($D$4:$D$802))</x:f>
        <x:v>1.119992234540604</x:v>
      </x:c>
    </x:row>
    <x:row r="302">
      <x:c r="A302" s="101" t="str">
        <x:v>福井県</x:v>
      </x:c>
      <x:c r="B302" s="101" t="str">
        <x:v>K</x:v>
      </x:c>
      <x:c r="C302" s="101" t="str">
        <x:v>不動産業，物品賃貸業</x:v>
      </x:c>
      <x:c r="D302" s="102" t="n">
        <x:v>1461</x:v>
      </x:c>
      <x:c r="E302" s="102" t="n">
        <x:f>1+COUNTIFS($C$4:$C$802,C302,$D$4:$D$802,"&gt;"&amp;D302)</x:f>
        <x:v>46</x:v>
      </x:c>
      <x:c r="F302" s="102" t="n">
        <x:v>766863</x:v>
      </x:c>
      <x:c r="G302" s="126" t="n">
        <x:f>D302/F302*100000</x:f>
        <x:v>190.51642861893194</x:v>
      </x:c>
      <x:c r="H302" s="127" t="n">
        <x:f>1+COUNTIFS($C$4:$C$802,C302,$G$4:$G$802,"&gt;"&amp;G302)</x:f>
        <x:v>45</x:v>
      </x:c>
      <x:c r="I302" s="128" t="n">
        <x:f>D302/SUMIF($C$4:$C$802,C302,$D$4:$D$802)</x:f>
        <x:v>0.003901660008118444</x:v>
      </x:c>
      <x:c r="J302" s="103" t="n">
        <x:f>(D302/SUMIF($A$4:$A$802,A302,$D$4:$D$802))/(SUMIF($C$4:$C$802,C302,$D$4:$D$802)/SUM($D$4:$D$802))</x:f>
        <x:v>0.5047092201620514</x:v>
      </x:c>
    </x:row>
    <x:row r="303">
      <x:c r="A303" s="101" t="str">
        <x:v>福井県</x:v>
      </x:c>
      <x:c r="B303" s="101" t="str">
        <x:v>L</x:v>
      </x:c>
      <x:c r="C303" s="101" t="str">
        <x:v>学術研究，専門・技術サービス業</x:v>
      </x:c>
      <x:c r="D303" s="102" t="n">
        <x:v>1639</x:v>
      </x:c>
      <x:c r="E303" s="102" t="n">
        <x:f>1+COUNTIFS($C$4:$C$802,C303,$D$4:$D$802,"&gt;"&amp;D303)</x:f>
        <x:v>39</x:v>
      </x:c>
      <x:c r="F303" s="102" t="n">
        <x:v>766863</x:v>
      </x:c>
      <x:c r="G303" s="126" t="n">
        <x:f>D303/F303*100000</x:f>
        <x:v>213.72787577442122</x:v>
      </x:c>
      <x:c r="H303" s="127" t="n">
        <x:f>1+COUNTIFS($C$4:$C$802,C303,$G$4:$G$802,"&gt;"&amp;G303)</x:f>
        <x:v>4</x:v>
      </x:c>
      <x:c r="I303" s="128" t="n">
        <x:f>D303/SUMIF($C$4:$C$802,C303,$D$4:$D$802)</x:f>
        <x:v>0.006495204882301656</x:v>
      </x:c>
      <x:c r="J303" s="103" t="n">
        <x:f>(D303/SUMIF($A$4:$A$802,A303,$D$4:$D$802))/(SUMIF($C$4:$C$802,C303,$D$4:$D$802)/SUM($D$4:$D$802))</x:f>
        <x:v>0.840203857875384</x:v>
      </x:c>
    </x:row>
    <x:row r="304">
      <x:c r="A304" s="101" t="str">
        <x:v>福井県</x:v>
      </x:c>
      <x:c r="B304" s="101" t="str">
        <x:v>M</x:v>
      </x:c>
      <x:c r="C304" s="101" t="str">
        <x:v>宿泊業，飲食サービス業</x:v>
      </x:c>
      <x:c r="D304" s="102" t="n">
        <x:v>4759</x:v>
      </x:c>
      <x:c r="E304" s="102" t="n">
        <x:f>1+COUNTIFS($C$4:$C$802,C304,$D$4:$D$802,"&gt;"&amp;D304)</x:f>
        <x:v>41</x:v>
      </x:c>
      <x:c r="F304" s="102" t="n">
        <x:v>766863</x:v>
      </x:c>
      <x:c r="G304" s="126" t="n">
        <x:f>D304/F304*100000</x:f>
        <x:v>620.5802079380541</x:v>
      </x:c>
      <x:c r="H304" s="127" t="n">
        <x:f>1+COUNTIFS($C$4:$C$802,C304,$G$4:$G$802,"&gt;"&amp;G304)</x:f>
        <x:v>5</x:v>
      </x:c>
      <x:c r="I304" s="128" t="n">
        <x:f>D304/SUMIF($C$4:$C$802,C304,$D$4:$D$802)</x:f>
        <x:v>0.007944138964841467</x:v>
      </x:c>
      <x:c r="J304" s="103" t="n">
        <x:f>(D304/SUMIF($A$4:$A$802,A304,$D$4:$D$802))/(SUMIF($C$4:$C$802,C304,$D$4:$D$802)/SUM($D$4:$D$802))</x:f>
        <x:v>1.0276344359737422</x:v>
      </x:c>
    </x:row>
    <x:row r="305">
      <x:c r="A305" s="101" t="str">
        <x:v>福井県</x:v>
      </x:c>
      <x:c r="B305" s="101" t="str">
        <x:v>N</x:v>
      </x:c>
      <x:c r="C305" s="101" t="str">
        <x:v>生活関連サービス業，娯楽業</x:v>
      </x:c>
      <x:c r="D305" s="102" t="n">
        <x:v>3366</x:v>
      </x:c>
      <x:c r="E305" s="102" t="n">
        <x:f>1+COUNTIFS($C$4:$C$802,C305,$D$4:$D$802,"&gt;"&amp;D305)</x:f>
        <x:v>42</x:v>
      </x:c>
      <x:c r="F305" s="102" t="n">
        <x:v>766863</x:v>
      </x:c>
      <x:c r="G305" s="126" t="n">
        <x:f>D305/F305*100000</x:f>
        <x:v>438.93107373807317</x:v>
      </x:c>
      <x:c r="H305" s="127" t="n">
        <x:f>1+COUNTIFS($C$4:$C$802,C305,$G$4:$G$802,"&gt;"&amp;G305)</x:f>
        <x:v>10</x:v>
      </x:c>
      <x:c r="I305" s="128" t="n">
        <x:f>D305/SUMIF($C$4:$C$802,C305,$D$4:$D$802)</x:f>
        <x:v>0.007752027249550332</x:v>
      </x:c>
      <x:c r="J305" s="103" t="n">
        <x:f>(D305/SUMIF($A$4:$A$802,A305,$D$4:$D$802))/(SUMIF($C$4:$C$802,C305,$D$4:$D$802)/SUM($D$4:$D$802))</x:f>
        <x:v>1.0027833331593425</x:v>
      </x:c>
    </x:row>
    <x:row r="306">
      <x:c r="A306" s="101" t="str">
        <x:v>福井県</x:v>
      </x:c>
      <x:c r="B306" s="101" t="str">
        <x:v>O</x:v>
      </x:c>
      <x:c r="C306" s="101" t="str">
        <x:v>教育，学習支援業</x:v>
      </x:c>
      <x:c r="D306" s="102" t="n">
        <x:v>1049</x:v>
      </x:c>
      <x:c r="E306" s="102" t="n">
        <x:f>1+COUNTIFS($C$4:$C$802,C306,$D$4:$D$802,"&gt;"&amp;D306)</x:f>
        <x:v>44</x:v>
      </x:c>
      <x:c r="F306" s="102" t="n">
        <x:v>766863</x:v>
      </x:c>
      <x:c r="G306" s="126" t="n">
        <x:f>D306/F306*100000</x:f>
        <x:v>136.79105655117016</x:v>
      </x:c>
      <x:c r="H306" s="127" t="n">
        <x:f>1+COUNTIFS($C$4:$C$802,C306,$G$4:$G$802,"&gt;"&amp;G306)</x:f>
        <x:v>18</x:v>
      </x:c>
      <x:c r="I306" s="128" t="n">
        <x:f>D306/SUMIF($C$4:$C$802,C306,$D$4:$D$802)</x:f>
        <x:v>0.006421518514664202</x:v>
      </x:c>
      <x:c r="J306" s="103" t="n">
        <x:f>(D306/SUMIF($A$4:$A$802,A306,$D$4:$D$802))/(SUMIF($C$4:$C$802,C306,$D$4:$D$802)/SUM($D$4:$D$802))</x:f>
        <x:v>0.830671969123035</x:v>
      </x:c>
    </x:row>
    <x:row r="307">
      <x:c r="A307" s="101" t="str">
        <x:v>福井県</x:v>
      </x:c>
      <x:c r="B307" s="101" t="str">
        <x:v>P</x:v>
      </x:c>
      <x:c r="C307" s="101" t="str">
        <x:v>医療，福祉</x:v>
      </x:c>
      <x:c r="D307" s="102" t="n">
        <x:v>2586</x:v>
      </x:c>
      <x:c r="E307" s="102" t="n">
        <x:f>1+COUNTIFS($C$4:$C$802,C307,$D$4:$D$802,"&gt;"&amp;D307)</x:f>
        <x:v>46</x:v>
      </x:c>
      <x:c r="F307" s="102" t="n">
        <x:v>766863</x:v>
      </x:c>
      <x:c r="G307" s="126" t="n">
        <x:f>D307/F307*100000</x:f>
        <x:v>337.21799069716496</x:v>
      </x:c>
      <x:c r="H307" s="127" t="n">
        <x:f>1+COUNTIFS($C$4:$C$802,C307,$G$4:$G$802,"&gt;"&amp;G307)</x:f>
        <x:v>41</x:v>
      </x:c>
      <x:c r="I307" s="128" t="n">
        <x:f>D307/SUMIF($C$4:$C$802,C307,$D$4:$D$802)</x:f>
        <x:v>0.005590976604811353</x:v>
      </x:c>
      <x:c r="J307" s="103" t="n">
        <x:f>(D307/SUMIF($A$4:$A$802,A307,$D$4:$D$802))/(SUMIF($C$4:$C$802,C307,$D$4:$D$802)/SUM($D$4:$D$802))</x:f>
        <x:v>0.7232350938541718</x:v>
      </x:c>
    </x:row>
    <x:row r="308">
      <x:c r="A308" s="101" t="str">
        <x:v>福井県</x:v>
      </x:c>
      <x:c r="B308" s="101" t="str">
        <x:v>Q</x:v>
      </x:c>
      <x:c r="C308" s="101" t="str">
        <x:v>複合サービス事業</x:v>
      </x:c>
      <x:c r="D308" s="102" t="n">
        <x:v>328</x:v>
      </x:c>
      <x:c r="E308" s="102" t="n">
        <x:f>1+COUNTIFS($C$4:$C$802,C308,$D$4:$D$802,"&gt;"&amp;D308)</x:f>
        <x:v>41</x:v>
      </x:c>
      <x:c r="F308" s="102" t="n">
        <x:v>766863</x:v>
      </x:c>
      <x:c r="G308" s="126" t="n">
        <x:f>D308/F308*100000</x:f>
        <x:v>42.771655432587046</x:v>
      </x:c>
      <x:c r="H308" s="127" t="n">
        <x:f>1+COUNTIFS($C$4:$C$802,C308,$G$4:$G$802,"&gt;"&amp;G308)</x:f>
        <x:v>11</x:v>
      </x:c>
      <x:c r="I308" s="128" t="n">
        <x:f>D308/SUMIF($C$4:$C$802,C308,$D$4:$D$802)</x:f>
        <x:v>0.010208210139740437</x:v>
      </x:c>
      <x:c r="J308" s="103" t="n">
        <x:f>(D308/SUMIF($A$4:$A$802,A308,$D$4:$D$802))/(SUMIF($C$4:$C$802,C308,$D$4:$D$802)/SUM($D$4:$D$802))</x:f>
        <x:v>1.3205091597315664</x:v>
      </x:c>
    </x:row>
    <x:row r="309">
      <x:c r="A309" s="101" t="str">
        <x:v>福井県</x:v>
      </x:c>
      <x:c r="B309" s="101" t="str">
        <x:v>R</x:v>
      </x:c>
      <x:c r="C309" s="101" t="str">
        <x:v>サービス業（他に分類されないもの）</x:v>
      </x:c>
      <x:c r="D309" s="102" t="n">
        <x:v>3373</x:v>
      </x:c>
      <x:c r="E309" s="102" t="n">
        <x:f>1+COUNTIFS($C$4:$C$802,C309,$D$4:$D$802,"&gt;"&amp;D309)</x:f>
        <x:v>41</x:v>
      </x:c>
      <x:c r="F309" s="102" t="n">
        <x:v>766863</x:v>
      </x:c>
      <x:c r="G309" s="126" t="n">
        <x:f>D309/F309*100000</x:f>
        <x:v>439.8438834576711</x:v>
      </x:c>
      <x:c r="H309" s="127" t="n">
        <x:f>1+COUNTIFS($C$4:$C$802,C309,$G$4:$G$802,"&gt;"&amp;G309)</x:f>
        <x:v>3</x:v>
      </x:c>
      <x:c r="I309" s="128" t="n">
        <x:f>D309/SUMIF($C$4:$C$802,C309,$D$4:$D$802)</x:f>
        <x:v>0.009135672730030443</x:v>
      </x:c>
      <x:c r="J309" s="103" t="n">
        <x:f>(D309/SUMIF($A$4:$A$802,A309,$D$4:$D$802))/(SUMIF($C$4:$C$802,C309,$D$4:$D$802)/SUM($D$4:$D$802))</x:f>
        <x:v>1.181768336973305</x:v>
      </x:c>
    </x:row>
    <x:row r="310">
      <x:c r="A310" s="101" t="str">
        <x:v>山梨県</x:v>
      </x:c>
      <x:c r="B310" s="101" t="str">
        <x:v>AB</x:v>
      </x:c>
      <x:c r="C310" s="101" t="str">
        <x:v>農林漁業</x:v>
      </x:c>
      <x:c r="D310" s="102" t="n">
        <x:v>374</x:v>
      </x:c>
      <x:c r="E310" s="102" t="n">
        <x:f>1+COUNTIFS($C$4:$C$802,C310,$D$4:$D$802,"&gt;"&amp;D310)</x:f>
        <x:v>44</x:v>
      </x:c>
      <x:c r="F310" s="102" t="n">
        <x:v>809974</x:v>
      </x:c>
      <x:c r="G310" s="126" t="n">
        <x:f>D310/F310*100000</x:f>
        <x:v>46.1743216448923</x:v>
      </x:c>
      <x:c r="H310" s="127" t="n">
        <x:f>1+COUNTIFS($C$4:$C$802,C310,$G$4:$G$802,"&gt;"&amp;G310)</x:f>
        <x:v>26</x:v>
      </x:c>
      <x:c r="I310" s="128" t="n">
        <x:f>D310/SUMIF($C$4:$C$802,C310,$D$4:$D$802)</x:f>
        <x:v>0.008808705073248858</x:v>
      </x:c>
      <x:c r="J310" s="103" t="n">
        <x:f>(D310/SUMIF($A$4:$A$802,A310,$D$4:$D$802))/(SUMIF($C$4:$C$802,C310,$D$4:$D$802)/SUM($D$4:$D$802))</x:f>
        <x:v>1.1128102686845378</x:v>
      </x:c>
    </x:row>
    <x:row r="311">
      <x:c r="A311" s="101" t="str">
        <x:v>山梨県</x:v>
      </x:c>
      <x:c r="B311" s="101" t="str">
        <x:v>C</x:v>
      </x:c>
      <x:c r="C311" s="101" t="str">
        <x:v>鉱業，採石業，砂利採取業</x:v>
      </x:c>
      <x:c r="D311" s="102" t="n">
        <x:v>28</x:v>
      </x:c>
      <x:c r="E311" s="102" t="n">
        <x:f>1+COUNTIFS($C$4:$C$802,C311,$D$4:$D$802,"&gt;"&amp;D311)</x:f>
        <x:v>30</x:v>
      </x:c>
      <x:c r="F311" s="102" t="n">
        <x:v>809974</x:v>
      </x:c>
      <x:c r="G311" s="126" t="n">
        <x:f>D311/F311*100000</x:f>
        <x:v>3.456901085713863</x:v>
      </x:c>
      <x:c r="H311" s="127" t="n">
        <x:f>1+COUNTIFS($C$4:$C$802,C311,$G$4:$G$802,"&gt;"&amp;G311)</x:f>
        <x:v>7</x:v>
      </x:c>
      <x:c r="I311" s="128" t="n">
        <x:f>D311/SUMIF($C$4:$C$802,C311,$D$4:$D$802)</x:f>
        <x:v>0.015013404825737266</x:v>
      </x:c>
      <x:c r="J311" s="103" t="n">
        <x:f>(D311/SUMIF($A$4:$A$802,A311,$D$4:$D$802))/(SUMIF($C$4:$C$802,C311,$D$4:$D$802)/SUM($D$4:$D$802))</x:f>
        <x:v>1.8966546068997248</x:v>
      </x:c>
    </x:row>
    <x:row r="312">
      <x:c r="A312" s="101" t="str">
        <x:v>山梨県</x:v>
      </x:c>
      <x:c r="B312" s="101" t="str">
        <x:v>D</x:v>
      </x:c>
      <x:c r="C312" s="101" t="str">
        <x:v>建設業</x:v>
      </x:c>
      <x:c r="D312" s="102" t="n">
        <x:v>4170</x:v>
      </x:c>
      <x:c r="E312" s="102" t="n">
        <x:f>1+COUNTIFS($C$4:$C$802,C312,$D$4:$D$802,"&gt;"&amp;D312)</x:f>
        <x:v>41</x:v>
      </x:c>
      <x:c r="F312" s="102" t="n">
        <x:v>809974</x:v>
      </x:c>
      <x:c r="G312" s="126" t="n">
        <x:f>D312/F312*100000</x:f>
        <x:v>514.8313402652432</x:v>
      </x:c>
      <x:c r="H312" s="127" t="n">
        <x:f>1+COUNTIFS($C$4:$C$802,C312,$G$4:$G$802,"&gt;"&amp;G312)</x:f>
        <x:v>7</x:v>
      </x:c>
      <x:c r="I312" s="128" t="n">
        <x:f>D312/SUMIF($C$4:$C$802,C312,$D$4:$D$802)</x:f>
        <x:v>0.008595545569789852</x:v>
      </x:c>
      <x:c r="J312" s="103" t="n">
        <x:f>(D312/SUMIF($A$4:$A$802,A312,$D$4:$D$802))/(SUMIF($C$4:$C$802,C312,$D$4:$D$802)/SUM($D$4:$D$802))</x:f>
        <x:v>1.0858816699467677</x:v>
      </x:c>
    </x:row>
    <x:row r="313">
      <x:c r="A313" s="101" t="str">
        <x:v>山梨県</x:v>
      </x:c>
      <x:c r="B313" s="101" t="str">
        <x:v>E</x:v>
      </x:c>
      <x:c r="C313" s="101" t="str">
        <x:v>製造業</x:v>
      </x:c>
      <x:c r="D313" s="102" t="n">
        <x:v>4091</x:v>
      </x:c>
      <x:c r="E313" s="102" t="n">
        <x:f>1+COUNTIFS($C$4:$C$802,C313,$D$4:$D$802,"&gt;"&amp;D313)</x:f>
        <x:v>31</x:v>
      </x:c>
      <x:c r="F313" s="102" t="n">
        <x:v>809974</x:v>
      </x:c>
      <x:c r="G313" s="126" t="n">
        <x:f>D313/F313*100000</x:f>
        <x:v>505.0779407734076</x:v>
      </x:c>
      <x:c r="H313" s="127" t="n">
        <x:f>1+COUNTIFS($C$4:$C$802,C313,$G$4:$G$802,"&gt;"&amp;G313)</x:f>
        <x:v>4</x:v>
      </x:c>
      <x:c r="I313" s="128" t="n">
        <x:f>D313/SUMIF($C$4:$C$802,C313,$D$4:$D$802)</x:f>
        <x:v>0.009914763570090423</x:v>
      </x:c>
      <x:c r="J313" s="103" t="n">
        <x:f>(D313/SUMIF($A$4:$A$802,A313,$D$4:$D$802))/(SUMIF($C$4:$C$802,C313,$D$4:$D$802)/SUM($D$4:$D$802))</x:f>
        <x:v>1.2525394618878605</x:v>
      </x:c>
    </x:row>
    <x:row r="314">
      <x:c r="A314" s="101" t="str">
        <x:v>山梨県</x:v>
      </x:c>
      <x:c r="B314" s="101" t="str">
        <x:v>F</x:v>
      </x:c>
      <x:c r="C314" s="101" t="str">
        <x:v>電気・ガス・熱供給・水道業</x:v>
      </x:c>
      <x:c r="D314" s="102" t="n">
        <x:v>100</x:v>
      </x:c>
      <x:c r="E314" s="102" t="n">
        <x:f>1+COUNTIFS($C$4:$C$802,C314,$D$4:$D$802,"&gt;"&amp;D314)</x:f>
        <x:v>34</x:v>
      </x:c>
      <x:c r="F314" s="102" t="n">
        <x:v>809974</x:v>
      </x:c>
      <x:c r="G314" s="126" t="n">
        <x:f>D314/F314*100000</x:f>
        <x:v>12.346075306120937</x:v>
      </x:c>
      <x:c r="H314" s="127" t="n">
        <x:f>1+COUNTIFS($C$4:$C$802,C314,$G$4:$G$802,"&gt;"&amp;G314)</x:f>
        <x:v>10</x:v>
      </x:c>
      <x:c r="I314" s="128" t="n">
        <x:f>D314/SUMIF($C$4:$C$802,C314,$D$4:$D$802)</x:f>
        <x:v>0.0109421162052741</x:v>
      </x:c>
      <x:c r="J314" s="103" t="n">
        <x:f>(D314/SUMIF($A$4:$A$802,A314,$D$4:$D$802))/(SUMIF($C$4:$C$802,C314,$D$4:$D$802)/SUM($D$4:$D$802))</x:f>
        <x:v>1.382325685003043</x:v>
      </x:c>
    </x:row>
    <x:row r="315">
      <x:c r="A315" s="101" t="str">
        <x:v>山梨県</x:v>
      </x:c>
      <x:c r="B315" s="101" t="str">
        <x:v>G</x:v>
      </x:c>
      <x:c r="C315" s="101" t="str">
        <x:v>情報通信業</x:v>
      </x:c>
      <x:c r="D315" s="102" t="n">
        <x:v>336</x:v>
      </x:c>
      <x:c r="E315" s="102" t="n">
        <x:f>1+COUNTIFS($C$4:$C$802,C315,$D$4:$D$802,"&gt;"&amp;D315)</x:f>
        <x:v>38</x:v>
      </x:c>
      <x:c r="F315" s="102" t="n">
        <x:v>809974</x:v>
      </x:c>
      <x:c r="G315" s="126" t="n">
        <x:f>D315/F315*100000</x:f>
        <x:v>41.48281302856635</x:v>
      </x:c>
      <x:c r="H315" s="127" t="n">
        <x:f>1+COUNTIFS($C$4:$C$802,C315,$G$4:$G$802,"&gt;"&amp;G315)</x:f>
        <x:v>17</x:v>
      </x:c>
      <x:c r="I315" s="128" t="n">
        <x:f>D315/SUMIF($C$4:$C$802,C315,$D$4:$D$802)</x:f>
        <x:v>0.0043887720581512295</x:v>
      </x:c>
      <x:c r="J315" s="103" t="n">
        <x:f>(D315/SUMIF($A$4:$A$802,A315,$D$4:$D$802))/(SUMIF($C$4:$C$802,C315,$D$4:$D$802)/SUM($D$4:$D$802))</x:f>
        <x:v>0.5544368408993826</x:v>
      </x:c>
    </x:row>
    <x:row r="316">
      <x:c r="A316" s="101" t="str">
        <x:v>山梨県</x:v>
      </x:c>
      <x:c r="B316" s="101" t="str">
        <x:v>H</x:v>
      </x:c>
      <x:c r="C316" s="101" t="str">
        <x:v>運輸業，郵便業</x:v>
      </x:c>
      <x:c r="D316" s="102" t="n">
        <x:v>793</x:v>
      </x:c>
      <x:c r="E316" s="102" t="n">
        <x:f>1+COUNTIFS($C$4:$C$802,C316,$D$4:$D$802,"&gt;"&amp;D316)</x:f>
        <x:v>42</x:v>
      </x:c>
      <x:c r="F316" s="102" t="n">
        <x:v>809974</x:v>
      </x:c>
      <x:c r="G316" s="126" t="n">
        <x:f>D316/F316*100000</x:f>
        <x:v>97.90437717753903</x:v>
      </x:c>
      <x:c r="H316" s="127" t="n">
        <x:f>1+COUNTIFS($C$4:$C$802,C316,$G$4:$G$802,"&gt;"&amp;G316)</x:f>
        <x:v>30</x:v>
      </x:c>
      <x:c r="I316" s="128" t="n">
        <x:f>D316/SUMIF($C$4:$C$802,C316,$D$4:$D$802)</x:f>
        <x:v>0.006184489643124532</x:v>
      </x:c>
      <x:c r="J316" s="103" t="n">
        <x:f>(D316/SUMIF($A$4:$A$802,A316,$D$4:$D$802))/(SUMIF($C$4:$C$802,C316,$D$4:$D$802)/SUM($D$4:$D$802))</x:f>
        <x:v>0.7812911800558046</x:v>
      </x:c>
    </x:row>
    <x:row r="317">
      <x:c r="A317" s="101" t="str">
        <x:v>山梨県</x:v>
      </x:c>
      <x:c r="B317" s="101" t="str">
        <x:v>I</x:v>
      </x:c>
      <x:c r="C317" s="101" t="str">
        <x:v>卸売業，小売業</x:v>
      </x:c>
      <x:c r="D317" s="102" t="n">
        <x:v>9216</x:v>
      </x:c>
      <x:c r="E317" s="102" t="n">
        <x:f>1+COUNTIFS($C$4:$C$802,C317,$D$4:$D$802,"&gt;"&amp;D317)</x:f>
        <x:v>43</x:v>
      </x:c>
      <x:c r="F317" s="102" t="n">
        <x:v>809974</x:v>
      </x:c>
      <x:c r="G317" s="126" t="n">
        <x:f>D317/F317*100000</x:f>
        <x:v>1137.8143002121055</x:v>
      </x:c>
      <x:c r="H317" s="127" t="n">
        <x:f>1+COUNTIFS($C$4:$C$802,C317,$G$4:$G$802,"&gt;"&amp;G317)</x:f>
        <x:v>18</x:v>
      </x:c>
      <x:c r="I317" s="128" t="n">
        <x:f>D317/SUMIF($C$4:$C$802,C317,$D$4:$D$802)</x:f>
        <x:v>0.007499267649643589</x:v>
      </x:c>
      <x:c r="J317" s="103" t="n">
        <x:f>(D317/SUMIF($A$4:$A$802,A317,$D$4:$D$802))/(SUMIF($C$4:$C$802,C317,$D$4:$D$802)/SUM($D$4:$D$802))</x:f>
        <x:v>0.9473880642775586</x:v>
      </x:c>
    </x:row>
    <x:row r="318">
      <x:c r="A318" s="101" t="str">
        <x:v>山梨県</x:v>
      </x:c>
      <x:c r="B318" s="101" t="str">
        <x:v>J</x:v>
      </x:c>
      <x:c r="C318" s="101" t="str">
        <x:v>金融業，保険業</x:v>
      </x:c>
      <x:c r="D318" s="102" t="n">
        <x:v>637</x:v>
      </x:c>
      <x:c r="E318" s="102" t="n">
        <x:f>1+COUNTIFS($C$4:$C$802,C318,$D$4:$D$802,"&gt;"&amp;D318)</x:f>
        <x:v>43</x:v>
      </x:c>
      <x:c r="F318" s="102" t="n">
        <x:v>809974</x:v>
      </x:c>
      <x:c r="G318" s="126" t="n">
        <x:f>D318/F318*100000</x:f>
        <x:v>78.64449969999038</x:v>
      </x:c>
      <x:c r="H318" s="127" t="n">
        <x:f>1+COUNTIFS($C$4:$C$802,C318,$G$4:$G$802,"&gt;"&amp;G318)</x:f>
        <x:v>16</x:v>
      </x:c>
      <x:c r="I318" s="128" t="n">
        <x:f>D318/SUMIF($C$4:$C$802,C318,$D$4:$D$802)</x:f>
        <x:v>0.007596718026999952</x:v>
      </x:c>
      <x:c r="J318" s="103" t="n">
        <x:f>(D318/SUMIF($A$4:$A$802,A318,$D$4:$D$802))/(SUMIF($C$4:$C$802,C318,$D$4:$D$802)/SUM($D$4:$D$802))</x:f>
        <x:v>0.959699042986413</x:v>
      </x:c>
    </x:row>
    <x:row r="319">
      <x:c r="A319" s="101" t="str">
        <x:v>山梨県</x:v>
      </x:c>
      <x:c r="B319" s="101" t="str">
        <x:v>K</x:v>
      </x:c>
      <x:c r="C319" s="101" t="str">
        <x:v>不動産業，物品賃貸業</x:v>
      </x:c>
      <x:c r="D319" s="102" t="n">
        <x:v>2499</x:v>
      </x:c>
      <x:c r="E319" s="102" t="n">
        <x:f>1+COUNTIFS($C$4:$C$802,C319,$D$4:$D$802,"&gt;"&amp;D319)</x:f>
        <x:v>38</x:v>
      </x:c>
      <x:c r="F319" s="102" t="n">
        <x:v>809974</x:v>
      </x:c>
      <x:c r="G319" s="126" t="n">
        <x:f>D319/F319*100000</x:f>
        <x:v>308.5284218999622</x:v>
      </x:c>
      <x:c r="H319" s="127" t="n">
        <x:f>1+COUNTIFS($C$4:$C$802,C319,$G$4:$G$802,"&gt;"&amp;G319)</x:f>
        <x:v>11</x:v>
      </x:c>
      <x:c r="I319" s="128" t="n">
        <x:f>D319/SUMIF($C$4:$C$802,C319,$D$4:$D$802)</x:f>
        <x:v>0.006673681286986989</x:v>
      </x:c>
      <x:c r="J319" s="103" t="n">
        <x:f>(D319/SUMIF($A$4:$A$802,A319,$D$4:$D$802))/(SUMIF($C$4:$C$802,C319,$D$4:$D$802)/SUM($D$4:$D$802))</x:f>
        <x:v>0.8430911245559366</x:v>
      </x:c>
    </x:row>
    <x:row r="320">
      <x:c r="A320" s="101" t="str">
        <x:v>山梨県</x:v>
      </x:c>
      <x:c r="B320" s="101" t="str">
        <x:v>L</x:v>
      </x:c>
      <x:c r="C320" s="101" t="str">
        <x:v>学術研究，専門・技術サービス業</x:v>
      </x:c>
      <x:c r="D320" s="102" t="n">
        <x:v>1512</x:v>
      </x:c>
      <x:c r="E320" s="102" t="n">
        <x:f>1+COUNTIFS($C$4:$C$802,C320,$D$4:$D$802,"&gt;"&amp;D320)</x:f>
        <x:v>42</x:v>
      </x:c>
      <x:c r="F320" s="102" t="n">
        <x:v>809974</x:v>
      </x:c>
      <x:c r="G320" s="126" t="n">
        <x:f>D320/F320*100000</x:f>
        <x:v>186.67265862854856</x:v>
      </x:c>
      <x:c r="H320" s="127" t="n">
        <x:f>1+COUNTIFS($C$4:$C$802,C320,$G$4:$G$802,"&gt;"&amp;G320)</x:f>
        <x:v>20</x:v>
      </x:c>
      <x:c r="I320" s="128" t="n">
        <x:f>D320/SUMIF($C$4:$C$802,C320,$D$4:$D$802)</x:f>
        <x:v>0.0059919156693350245</x:v>
      </x:c>
      <x:c r="J320" s="103" t="n">
        <x:f>(D320/SUMIF($A$4:$A$802,A320,$D$4:$D$802))/(SUMIF($C$4:$C$802,C320,$D$4:$D$802)/SUM($D$4:$D$802))</x:f>
        <x:v>0.756963166604071</x:v>
      </x:c>
    </x:row>
    <x:row r="321">
      <x:c r="A321" s="101" t="str">
        <x:v>山梨県</x:v>
      </x:c>
      <x:c r="B321" s="101" t="str">
        <x:v>M</x:v>
      </x:c>
      <x:c r="C321" s="101" t="str">
        <x:v>宿泊業，飲食サービス業</x:v>
      </x:c>
      <x:c r="D321" s="102" t="n">
        <x:v>5663</x:v>
      </x:c>
      <x:c r="E321" s="102" t="n">
        <x:f>1+COUNTIFS($C$4:$C$802,C321,$D$4:$D$802,"&gt;"&amp;D321)</x:f>
        <x:v>35</x:v>
      </x:c>
      <x:c r="F321" s="102" t="n">
        <x:v>809974</x:v>
      </x:c>
      <x:c r="G321" s="126" t="n">
        <x:f>D321/F321*100000</x:f>
        <x:v>699.1582445856286</x:v>
      </x:c>
      <x:c r="H321" s="127" t="n">
        <x:f>1+COUNTIFS($C$4:$C$802,C321,$G$4:$G$802,"&gt;"&amp;G321)</x:f>
        <x:v>2</x:v>
      </x:c>
      <x:c r="I321" s="128" t="n">
        <x:f>D321/SUMIF($C$4:$C$802,C321,$D$4:$D$802)</x:f>
        <x:v>0.009453174817797274</x:v>
      </x:c>
      <x:c r="J321" s="103" t="n">
        <x:f>(D321/SUMIF($A$4:$A$802,A321,$D$4:$D$802))/(SUMIF($C$4:$C$802,C321,$D$4:$D$802)/SUM($D$4:$D$802))</x:f>
        <x:v>1.1942266112259585</x:v>
      </x:c>
    </x:row>
    <x:row r="322">
      <x:c r="A322" s="101" t="str">
        <x:v>山梨県</x:v>
      </x:c>
      <x:c r="B322" s="101" t="str">
        <x:v>N</x:v>
      </x:c>
      <x:c r="C322" s="101" t="str">
        <x:v>生活関連サービス業，娯楽業</x:v>
      </x:c>
      <x:c r="D322" s="102" t="n">
        <x:v>3469</x:v>
      </x:c>
      <x:c r="E322" s="102" t="n">
        <x:f>1+COUNTIFS($C$4:$C$802,C322,$D$4:$D$802,"&gt;"&amp;D322)</x:f>
        <x:v>41</x:v>
      </x:c>
      <x:c r="F322" s="102" t="n">
        <x:v>809974</x:v>
      </x:c>
      <x:c r="G322" s="126" t="n">
        <x:f>D322/F322*100000</x:f>
        <x:v>428.2853523693353</x:v>
      </x:c>
      <x:c r="H322" s="127" t="n">
        <x:f>1+COUNTIFS($C$4:$C$802,C322,$G$4:$G$802,"&gt;"&amp;G322)</x:f>
        <x:v>13</x:v>
      </x:c>
      <x:c r="I322" s="128" t="n">
        <x:f>D322/SUMIF($C$4:$C$802,C322,$D$4:$D$802)</x:f>
        <x:v>0.00798924020460193</x:v>
      </x:c>
      <x:c r="J322" s="103" t="n">
        <x:f>(D322/SUMIF($A$4:$A$802,A322,$D$4:$D$802))/(SUMIF($C$4:$C$802,C322,$D$4:$D$802)/SUM($D$4:$D$802))</x:f>
        <x:v>1.0092866618577068</x:v>
      </x:c>
    </x:row>
    <x:row r="323">
      <x:c r="A323" s="101" t="str">
        <x:v>山梨県</x:v>
      </x:c>
      <x:c r="B323" s="101" t="str">
        <x:v>O</x:v>
      </x:c>
      <x:c r="C323" s="101" t="str">
        <x:v>教育，学習支援業</x:v>
      </x:c>
      <x:c r="D323" s="102" t="n">
        <x:v>1268</x:v>
      </x:c>
      <x:c r="E323" s="102" t="n">
        <x:f>1+COUNTIFS($C$4:$C$802,C323,$D$4:$D$802,"&gt;"&amp;D323)</x:f>
        <x:v>39</x:v>
      </x:c>
      <x:c r="F323" s="102" t="n">
        <x:v>809974</x:v>
      </x:c>
      <x:c r="G323" s="126" t="n">
        <x:f>D323/F323*100000</x:f>
        <x:v>156.54823488161347</x:v>
      </x:c>
      <x:c r="H323" s="127" t="n">
        <x:f>1+COUNTIFS($C$4:$C$802,C323,$G$4:$G$802,"&gt;"&amp;G323)</x:f>
        <x:v>3</x:v>
      </x:c>
      <x:c r="I323" s="128" t="n">
        <x:f>D323/SUMIF($C$4:$C$802,C323,$D$4:$D$802)</x:f>
        <x:v>0.0077621405877923814</x:v>
      </x:c>
      <x:c r="J323" s="103" t="n">
        <x:f>(D323/SUMIF($A$4:$A$802,A323,$D$4:$D$802))/(SUMIF($C$4:$C$802,C323,$D$4:$D$802)/SUM($D$4:$D$802))</x:f>
        <x:v>0.9805969982240051</x:v>
      </x:c>
    </x:row>
    <x:row r="324">
      <x:c r="A324" s="101" t="str">
        <x:v>山梨県</x:v>
      </x:c>
      <x:c r="B324" s="101" t="str">
        <x:v>P</x:v>
      </x:c>
      <x:c r="C324" s="101" t="str">
        <x:v>医療，福祉</x:v>
      </x:c>
      <x:c r="D324" s="102" t="n">
        <x:v>3048</x:v>
      </x:c>
      <x:c r="E324" s="102" t="n">
        <x:f>1+COUNTIFS($C$4:$C$802,C324,$D$4:$D$802,"&gt;"&amp;D324)</x:f>
        <x:v>43</x:v>
      </x:c>
      <x:c r="F324" s="102" t="n">
        <x:v>809974</x:v>
      </x:c>
      <x:c r="G324" s="126" t="n">
        <x:f>D324/F324*100000</x:f>
        <x:v>376.30837533056615</x:v>
      </x:c>
      <x:c r="H324" s="127" t="n">
        <x:f>1+COUNTIFS($C$4:$C$802,C324,$G$4:$G$802,"&gt;"&amp;G324)</x:f>
        <x:v>23</x:v>
      </x:c>
      <x:c r="I324" s="128" t="n">
        <x:f>D324/SUMIF($C$4:$C$802,C324,$D$4:$D$802)</x:f>
        <x:v>0.006589828573652361</x:v>
      </x:c>
      <x:c r="J324" s="103" t="n">
        <x:f>(D324/SUMIF($A$4:$A$802,A324,$D$4:$D$802))/(SUMIF($C$4:$C$802,C324,$D$4:$D$802)/SUM($D$4:$D$802))</x:f>
        <x:v>0.8324979488644022</x:v>
      </x:c>
    </x:row>
    <x:row r="325">
      <x:c r="A325" s="101" t="str">
        <x:v>山梨県</x:v>
      </x:c>
      <x:c r="B325" s="101" t="str">
        <x:v>Q</x:v>
      </x:c>
      <x:c r="C325" s="101" t="str">
        <x:v>複合サービス事業</x:v>
      </x:c>
      <x:c r="D325" s="102" t="n">
        <x:v>316</x:v>
      </x:c>
      <x:c r="E325" s="102" t="n">
        <x:f>1+COUNTIFS($C$4:$C$802,C325,$D$4:$D$802,"&gt;"&amp;D325)</x:f>
        <x:v>43</x:v>
      </x:c>
      <x:c r="F325" s="102" t="n">
        <x:v>809974</x:v>
      </x:c>
      <x:c r="G325" s="126" t="n">
        <x:f>D325/F325*100000</x:f>
        <x:v>39.01359796734216</x:v>
      </x:c>
      <x:c r="H325" s="127" t="n">
        <x:f>1+COUNTIFS($C$4:$C$802,C325,$G$4:$G$802,"&gt;"&amp;G325)</x:f>
        <x:v>19</x:v>
      </x:c>
      <x:c r="I325" s="128" t="n">
        <x:f>D325/SUMIF($C$4:$C$802,C325,$D$4:$D$802)</x:f>
        <x:v>0.009834739037067008</x:v>
      </x:c>
      <x:c r="J325" s="103" t="n">
        <x:f>(D325/SUMIF($A$4:$A$802,A325,$D$4:$D$802))/(SUMIF($C$4:$C$802,C325,$D$4:$D$802)/SUM($D$4:$D$802))</x:f>
        <x:v>1.242429903064557</x:v>
      </x:c>
    </x:row>
    <x:row r="326">
      <x:c r="A326" s="101" t="str">
        <x:v>山梨県</x:v>
      </x:c>
      <x:c r="B326" s="101" t="str">
        <x:v>R</x:v>
      </x:c>
      <x:c r="C326" s="101" t="str">
        <x:v>サービス業（他に分類されないもの）</x:v>
      </x:c>
      <x:c r="D326" s="102" t="n">
        <x:v>3294</x:v>
      </x:c>
      <x:c r="E326" s="102" t="n">
        <x:f>1+COUNTIFS($C$4:$C$802,C326,$D$4:$D$802,"&gt;"&amp;D326)</x:f>
        <x:v>42</x:v>
      </x:c>
      <x:c r="F326" s="102" t="n">
        <x:v>809974</x:v>
      </x:c>
      <x:c r="G326" s="126" t="n">
        <x:f>D326/F326*100000</x:f>
        <x:v>406.67972058362363</x:v>
      </x:c>
      <x:c r="H326" s="127" t="n">
        <x:f>1+COUNTIFS($C$4:$C$802,C326,$G$4:$G$802,"&gt;"&amp;G326)</x:f>
        <x:v>4</x:v>
      </x:c>
      <x:c r="I326" s="128" t="n">
        <x:f>D326/SUMIF($C$4:$C$802,C326,$D$4:$D$802)</x:f>
        <x:v>0.00892170351992893</x:v>
      </x:c>
      <x:c r="J326" s="103" t="n">
        <x:f>(D326/SUMIF($A$4:$A$802,A326,$D$4:$D$802))/(SUMIF($C$4:$C$802,C326,$D$4:$D$802)/SUM($D$4:$D$802))</x:f>
        <x:v>1.1270854465642997</x:v>
      </x:c>
    </x:row>
    <x:row r="327">
      <x:c r="A327" s="101" t="str">
        <x:v>長野県</x:v>
      </x:c>
      <x:c r="B327" s="101" t="str">
        <x:v>AB</x:v>
      </x:c>
      <x:c r="C327" s="101" t="str">
        <x:v>農林漁業</x:v>
      </x:c>
      <x:c r="D327" s="102" t="n">
        <x:v>1360</x:v>
      </x:c>
      <x:c r="E327" s="102" t="n">
        <x:f>1+COUNTIFS($C$4:$C$802,C327,$D$4:$D$802,"&gt;"&amp;D327)</x:f>
        <x:v>4</x:v>
      </x:c>
      <x:c r="F327" s="102" t="n">
        <x:v>2048011</x:v>
      </x:c>
      <x:c r="G327" s="126" t="n">
        <x:f>D327/F327*100000</x:f>
        <x:v>66.40589332772139</x:v>
      </x:c>
      <x:c r="H327" s="127" t="n">
        <x:f>1+COUNTIFS($C$4:$C$802,C327,$G$4:$G$802,"&gt;"&amp;G327)</x:f>
        <x:v>16</x:v>
      </x:c>
      <x:c r="I327" s="128" t="n">
        <x:f>D327/SUMIF($C$4:$C$802,C327,$D$4:$D$802)</x:f>
        <x:v>0.032031654811814025</x:v>
      </x:c>
      <x:c r="J327" s="103" t="n">
        <x:f>(D327/SUMIF($A$4:$A$802,A327,$D$4:$D$802))/(SUMIF($C$4:$C$802,C327,$D$4:$D$802)/SUM($D$4:$D$802))</x:f>
        <x:v>1.6586880738765934</x:v>
      </x:c>
    </x:row>
    <x:row r="328">
      <x:c r="A328" s="101" t="str">
        <x:v>長野県</x:v>
      </x:c>
      <x:c r="B328" s="101" t="str">
        <x:v>C</x:v>
      </x:c>
      <x:c r="C328" s="101" t="str">
        <x:v>鉱業，採石業，砂利採取業</x:v>
      </x:c>
      <x:c r="D328" s="102" t="n">
        <x:v>59</x:v>
      </x:c>
      <x:c r="E328" s="102" t="n">
        <x:f>1+COUNTIFS($C$4:$C$802,C328,$D$4:$D$802,"&gt;"&amp;D328)</x:f>
        <x:v>10</x:v>
      </x:c>
      <x:c r="F328" s="102" t="n">
        <x:v>2048011</x:v>
      </x:c>
      <x:c r="G328" s="126" t="n">
        <x:f>D328/F328*100000</x:f>
        <x:v>2.880843901717325</x:v>
      </x:c>
      <x:c r="H328" s="127" t="n">
        <x:f>1+COUNTIFS($C$4:$C$802,C328,$G$4:$G$802,"&gt;"&amp;G328)</x:f>
        <x:v>13</x:v>
      </x:c>
      <x:c r="I328" s="128" t="n">
        <x:f>D328/SUMIF($C$4:$C$802,C328,$D$4:$D$802)</x:f>
        <x:v>0.03163538873994638</x:v>
      </x:c>
      <x:c r="J328" s="103" t="n">
        <x:f>(D328/SUMIF($A$4:$A$802,A328,$D$4:$D$802))/(SUMIF($C$4:$C$802,C328,$D$4:$D$802)/SUM($D$4:$D$802))</x:f>
        <x:v>1.6381683158013292</x:v>
      </x:c>
    </x:row>
    <x:row r="329">
      <x:c r="A329" s="101" t="str">
        <x:v>長野県</x:v>
      </x:c>
      <x:c r="B329" s="101" t="str">
        <x:v>D</x:v>
      </x:c>
      <x:c r="C329" s="101" t="str">
        <x:v>建設業</x:v>
      </x:c>
      <x:c r="D329" s="102" t="n">
        <x:v>10675</x:v>
      </x:c>
      <x:c r="E329" s="102" t="n">
        <x:f>1+COUNTIFS($C$4:$C$802,C329,$D$4:$D$802,"&gt;"&amp;D329)</x:f>
        <x:v>14</x:v>
      </x:c>
      <x:c r="F329" s="102" t="n">
        <x:v>2048011</x:v>
      </x:c>
      <x:c r="G329" s="126" t="n">
        <x:f>D329/F329*100000</x:f>
        <x:v>521.2374347598718</x:v>
      </x:c>
      <x:c r="H329" s="127" t="n">
        <x:f>1+COUNTIFS($C$4:$C$802,C329,$G$4:$G$802,"&gt;"&amp;G329)</x:f>
        <x:v>6</x:v>
      </x:c>
      <x:c r="I329" s="128" t="n">
        <x:f>D329/SUMIF($C$4:$C$802,C329,$D$4:$D$802)</x:f>
        <x:v>0.02200418440227978</x:v>
      </x:c>
      <x:c r="J329" s="103" t="n">
        <x:f>(D329/SUMIF($A$4:$A$802,A329,$D$4:$D$802))/(SUMIF($C$4:$C$802,C329,$D$4:$D$802)/SUM($D$4:$D$802))</x:f>
        <x:v>1.1394377985735995</x:v>
      </x:c>
    </x:row>
    <x:row r="330">
      <x:c r="A330" s="101" t="str">
        <x:v>長野県</x:v>
      </x:c>
      <x:c r="B330" s="101" t="str">
        <x:v>E</x:v>
      </x:c>
      <x:c r="C330" s="101" t="str">
        <x:v>製造業</x:v>
      </x:c>
      <x:c r="D330" s="102" t="n">
        <x:v>9766</x:v>
      </x:c>
      <x:c r="E330" s="102" t="n">
        <x:f>1+COUNTIFS($C$4:$C$802,C330,$D$4:$D$802,"&gt;"&amp;D330)</x:f>
        <x:v>15</x:v>
      </x:c>
      <x:c r="F330" s="102" t="n">
        <x:v>2048011</x:v>
      </x:c>
      <x:c r="G330" s="126" t="n">
        <x:f>D330/F330*100000</x:f>
        <x:v>476.8529075283287</x:v>
      </x:c>
      <x:c r="H330" s="127" t="n">
        <x:f>1+COUNTIFS($C$4:$C$802,C330,$G$4:$G$802,"&gt;"&amp;G330)</x:f>
        <x:v>7</x:v>
      </x:c>
      <x:c r="I330" s="128" t="n">
        <x:f>D330/SUMIF($C$4:$C$802,C330,$D$4:$D$802)</x:f>
        <x:v>0.023668438285383297</x:v>
      </x:c>
      <x:c r="J330" s="103" t="n">
        <x:f>(D330/SUMIF($A$4:$A$802,A330,$D$4:$D$802))/(SUMIF($C$4:$C$802,C330,$D$4:$D$802)/SUM($D$4:$D$802))</x:f>
        <x:v>1.2256174881345798</x:v>
      </x:c>
    </x:row>
    <x:row r="331">
      <x:c r="A331" s="101" t="str">
        <x:v>長野県</x:v>
      </x:c>
      <x:c r="B331" s="101" t="str">
        <x:v>F</x:v>
      </x:c>
      <x:c r="C331" s="101" t="str">
        <x:v>電気・ガス・熱供給・水道業</x:v>
      </x:c>
      <x:c r="D331" s="102" t="n">
        <x:v>264</x:v>
      </x:c>
      <x:c r="E331" s="102" t="n">
        <x:f>1+COUNTIFS($C$4:$C$802,C331,$D$4:$D$802,"&gt;"&amp;D331)</x:f>
        <x:v>11</x:v>
      </x:c>
      <x:c r="F331" s="102" t="n">
        <x:v>2048011</x:v>
      </x:c>
      <x:c r="G331" s="126" t="n">
        <x:f>D331/F331*100000</x:f>
        <x:v>12.890555763616504</x:v>
      </x:c>
      <x:c r="H331" s="127" t="n">
        <x:f>1+COUNTIFS($C$4:$C$802,C331,$G$4:$G$802,"&gt;"&amp;G331)</x:f>
        <x:v>9</x:v>
      </x:c>
      <x:c r="I331" s="128" t="n">
        <x:f>D331/SUMIF($C$4:$C$802,C331,$D$4:$D$802)</x:f>
        <x:v>0.028887186781923625</x:v>
      </x:c>
      <x:c r="J331" s="103" t="n">
        <x:f>(D331/SUMIF($A$4:$A$802,A331,$D$4:$D$802))/(SUMIF($C$4:$C$802,C331,$D$4:$D$802)/SUM($D$4:$D$802))</x:f>
        <x:v>1.4958587835852353</x:v>
      </x:c>
    </x:row>
    <x:row r="332">
      <x:c r="A332" s="101" t="str">
        <x:v>長野県</x:v>
      </x:c>
      <x:c r="B332" s="101" t="str">
        <x:v>G</x:v>
      </x:c>
      <x:c r="C332" s="101" t="str">
        <x:v>情報通信業</x:v>
      </x:c>
      <x:c r="D332" s="102" t="n">
        <x:v>949</x:v>
      </x:c>
      <x:c r="E332" s="102" t="n">
        <x:f>1+COUNTIFS($C$4:$C$802,C332,$D$4:$D$802,"&gt;"&amp;D332)</x:f>
        <x:v>14</x:v>
      </x:c>
      <x:c r="F332" s="102" t="n">
        <x:v>2048011</x:v>
      </x:c>
      <x:c r="G332" s="126" t="n">
        <x:f>D332/F332*100000</x:f>
        <x:v>46.337641741182054</x:v>
      </x:c>
      <x:c r="H332" s="127" t="n">
        <x:f>1+COUNTIFS($C$4:$C$802,C332,$G$4:$G$802,"&gt;"&amp;G332)</x:f>
        <x:v>11</x:v>
      </x:c>
      <x:c r="I332" s="128" t="n">
        <x:f>D332/SUMIF($C$4:$C$802,C332,$D$4:$D$802)</x:f>
        <x:v>0.012395668699956897</x:v>
      </x:c>
      <x:c r="J332" s="103" t="n">
        <x:f>(D332/SUMIF($A$4:$A$802,A332,$D$4:$D$802))/(SUMIF($C$4:$C$802,C332,$D$4:$D$802)/SUM($D$4:$D$802))</x:f>
        <x:v>0.6418821619156767</x:v>
      </x:c>
    </x:row>
    <x:row r="333">
      <x:c r="A333" s="101" t="str">
        <x:v>長野県</x:v>
      </x:c>
      <x:c r="B333" s="101" t="str">
        <x:v>H</x:v>
      </x:c>
      <x:c r="C333" s="101" t="str">
        <x:v>運輸業，郵便業</x:v>
      </x:c>
      <x:c r="D333" s="102" t="n">
        <x:v>1859</x:v>
      </x:c>
      <x:c r="E333" s="102" t="n">
        <x:f>1+COUNTIFS($C$4:$C$802,C333,$D$4:$D$802,"&gt;"&amp;D333)</x:f>
        <x:v>21</x:v>
      </x:c>
      <x:c r="F333" s="102" t="n">
        <x:v>2048011</x:v>
      </x:c>
      <x:c r="G333" s="126" t="n">
        <x:f>D333/F333*100000</x:f>
        <x:v>90.7709968354662</x:v>
      </x:c>
      <x:c r="H333" s="127" t="n">
        <x:f>1+COUNTIFS($C$4:$C$802,C333,$G$4:$G$802,"&gt;"&amp;G333)</x:f>
        <x:v>39</x:v>
      </x:c>
      <x:c r="I333" s="128" t="n">
        <x:f>D333/SUMIF($C$4:$C$802,C333,$D$4:$D$802)</x:f>
        <x:v>0.014498065884701771</x:v>
      </x:c>
      <x:c r="J333" s="103" t="n">
        <x:f>(D333/SUMIF($A$4:$A$802,A333,$D$4:$D$802))/(SUMIF($C$4:$C$802,C333,$D$4:$D$802)/SUM($D$4:$D$802))</x:f>
        <x:v>0.750750128849495</x:v>
      </x:c>
    </x:row>
    <x:row r="334">
      <x:c r="A334" s="101" t="str">
        <x:v>長野県</x:v>
      </x:c>
      <x:c r="B334" s="101" t="str">
        <x:v>I</x:v>
      </x:c>
      <x:c r="C334" s="101" t="str">
        <x:v>卸売業，小売業</x:v>
      </x:c>
      <x:c r="D334" s="102" t="n">
        <x:v>22746</x:v>
      </x:c>
      <x:c r="E334" s="102" t="n">
        <x:f>1+COUNTIFS($C$4:$C$802,C334,$D$4:$D$802,"&gt;"&amp;D334)</x:f>
        <x:v>16</x:v>
      </x:c>
      <x:c r="F334" s="102" t="n">
        <x:v>2048011</x:v>
      </x:c>
      <x:c r="G334" s="126" t="n">
        <x:f>D334/F334*100000</x:f>
        <x:v>1110.63856590614</x:v>
      </x:c>
      <x:c r="H334" s="127" t="n">
        <x:f>1+COUNTIFS($C$4:$C$802,C334,$G$4:$G$802,"&gt;"&amp;G334)</x:f>
        <x:v>21</x:v>
      </x:c>
      <x:c r="I334" s="128" t="n">
        <x:f>D334/SUMIF($C$4:$C$802,C334,$D$4:$D$802)</x:f>
        <x:v>0.018508934674348207</x:v>
      </x:c>
      <x:c r="J334" s="103" t="n">
        <x:f>(D334/SUMIF($A$4:$A$802,A334,$D$4:$D$802))/(SUMIF($C$4:$C$802,C334,$D$4:$D$802)/SUM($D$4:$D$802))</x:f>
        <x:v>0.9584440574446761</x:v>
      </x:c>
    </x:row>
    <x:row r="335">
      <x:c r="A335" s="101" t="str">
        <x:v>長野県</x:v>
      </x:c>
      <x:c r="B335" s="101" t="str">
        <x:v>J</x:v>
      </x:c>
      <x:c r="C335" s="101" t="str">
        <x:v>金融業，保険業</x:v>
      </x:c>
      <x:c r="D335" s="102" t="n">
        <x:v>1500</x:v>
      </x:c>
      <x:c r="E335" s="102" t="n">
        <x:f>1+COUNTIFS($C$4:$C$802,C335,$D$4:$D$802,"&gt;"&amp;D335)</x:f>
        <x:v>17</x:v>
      </x:c>
      <x:c r="F335" s="102" t="n">
        <x:v>2048011</x:v>
      </x:c>
      <x:c r="G335" s="126" t="n">
        <x:f>D335/F335*100000</x:f>
        <x:v>73.24179411145741</x:v>
      </x:c>
      <x:c r="H335" s="127" t="n">
        <x:f>1+COUNTIFS($C$4:$C$802,C335,$G$4:$G$802,"&gt;"&amp;G335)</x:f>
        <x:v>27</x:v>
      </x:c>
      <x:c r="I335" s="128" t="n">
        <x:f>D335/SUMIF($C$4:$C$802,C335,$D$4:$D$802)</x:f>
        <x:v>0.01788866097409722</x:v>
      </x:c>
      <x:c r="J335" s="103" t="n">
        <x:f>(D335/SUMIF($A$4:$A$802,A335,$D$4:$D$802))/(SUMIF($C$4:$C$802,C335,$D$4:$D$802)/SUM($D$4:$D$802))</x:f>
        <x:v>0.9263245620520697</x:v>
      </x:c>
    </x:row>
    <x:row r="336">
      <x:c r="A336" s="101" t="str">
        <x:v>長野県</x:v>
      </x:c>
      <x:c r="B336" s="101" t="str">
        <x:v>K</x:v>
      </x:c>
      <x:c r="C336" s="101" t="str">
        <x:v>不動産業，物品賃貸業</x:v>
      </x:c>
      <x:c r="D336" s="102" t="n">
        <x:v>6717</x:v>
      </x:c>
      <x:c r="E336" s="102" t="n">
        <x:f>1+COUNTIFS($C$4:$C$802,C336,$D$4:$D$802,"&gt;"&amp;D336)</x:f>
        <x:v>13</x:v>
      </x:c>
      <x:c r="F336" s="102" t="n">
        <x:v>2048011</x:v>
      </x:c>
      <x:c r="G336" s="126" t="n">
        <x:f>D336/F336*100000</x:f>
        <x:v>327.9767540311063</x:v>
      </x:c>
      <x:c r="H336" s="127" t="n">
        <x:f>1+COUNTIFS($C$4:$C$802,C336,$G$4:$G$802,"&gt;"&amp;G336)</x:f>
        <x:v>6</x:v>
      </x:c>
      <x:c r="I336" s="128" t="n">
        <x:f>D336/SUMIF($C$4:$C$802,C336,$D$4:$D$802)</x:f>
        <x:v>0.017938022090712928</x:v>
      </x:c>
      <x:c r="J336" s="103" t="n">
        <x:f>(D336/SUMIF($A$4:$A$802,A336,$D$4:$D$802))/(SUMIF($C$4:$C$802,C336,$D$4:$D$802)/SUM($D$4:$D$802))</x:f>
        <x:v>0.9288806178014439</x:v>
      </x:c>
    </x:row>
    <x:row r="337">
      <x:c r="A337" s="101" t="str">
        <x:v>長野県</x:v>
      </x:c>
      <x:c r="B337" s="101" t="str">
        <x:v>L</x:v>
      </x:c>
      <x:c r="C337" s="101" t="str">
        <x:v>学術研究，専門・技術サービス業</x:v>
      </x:c>
      <x:c r="D337" s="102" t="n">
        <x:v>4175</x:v>
      </x:c>
      <x:c r="E337" s="102" t="n">
        <x:f>1+COUNTIFS($C$4:$C$802,C337,$D$4:$D$802,"&gt;"&amp;D337)</x:f>
        <x:v>15</x:v>
      </x:c>
      <x:c r="F337" s="102" t="n">
        <x:v>2048011</x:v>
      </x:c>
      <x:c r="G337" s="126" t="n">
        <x:f>D337/F337*100000</x:f>
        <x:v>203.85632694355647</x:v>
      </x:c>
      <x:c r="H337" s="127" t="n">
        <x:f>1+COUNTIFS($C$4:$C$802,C337,$G$4:$G$802,"&gt;"&amp;G337)</x:f>
        <x:v>8</x:v>
      </x:c>
      <x:c r="I337" s="128" t="n">
        <x:f>D337/SUMIF($C$4:$C$802,C337,$D$4:$D$802)</x:f>
        <x:v>0.01654513751287945</x:v>
      </x:c>
      <x:c r="J337" s="103" t="n">
        <x:f>(D337/SUMIF($A$4:$A$802,A337,$D$4:$D$802))/(SUMIF($C$4:$C$802,C337,$D$4:$D$802)/SUM($D$4:$D$802))</x:f>
        <x:v>0.8567531847633322</x:v>
      </x:c>
    </x:row>
    <x:row r="338">
      <x:c r="A338" s="101" t="str">
        <x:v>長野県</x:v>
      </x:c>
      <x:c r="B338" s="101" t="str">
        <x:v>M</x:v>
      </x:c>
      <x:c r="C338" s="101" t="str">
        <x:v>宿泊業，飲食サービス業</x:v>
      </x:c>
      <x:c r="D338" s="102" t="n">
        <x:v>13597</x:v>
      </x:c>
      <x:c r="E338" s="102" t="n">
        <x:f>1+COUNTIFS($C$4:$C$802,C338,$D$4:$D$802,"&gt;"&amp;D338)</x:f>
        <x:v>12</x:v>
      </x:c>
      <x:c r="F338" s="102" t="n">
        <x:v>2048011</x:v>
      </x:c>
      <x:c r="G338" s="126" t="n">
        <x:f>D338/F338*100000</x:f>
        <x:v>663.9124496889909</x:v>
      </x:c>
      <x:c r="H338" s="127" t="n">
        <x:f>1+COUNTIFS($C$4:$C$802,C338,$G$4:$G$802,"&gt;"&amp;G338)</x:f>
        <x:v>4</x:v>
      </x:c>
      <x:c r="I338" s="128" t="n">
        <x:f>D338/SUMIF($C$4:$C$802,C338,$D$4:$D$802)</x:f>
        <x:v>0.022697301429911627</x:v>
      </x:c>
      <x:c r="J338" s="103" t="n">
        <x:f>(D338/SUMIF($A$4:$A$802,A338,$D$4:$D$802))/(SUMIF($C$4:$C$802,C338,$D$4:$D$802)/SUM($D$4:$D$802))</x:f>
        <x:v>1.1753293238253553</x:v>
      </x:c>
    </x:row>
    <x:row r="339">
      <x:c r="A339" s="101" t="str">
        <x:v>長野県</x:v>
      </x:c>
      <x:c r="B339" s="101" t="str">
        <x:v>N</x:v>
      </x:c>
      <x:c r="C339" s="101" t="str">
        <x:v>生活関連サービス業，娯楽業</x:v>
      </x:c>
      <x:c r="D339" s="102" t="n">
        <x:v>8188</x:v>
      </x:c>
      <x:c r="E339" s="102" t="n">
        <x:f>1+COUNTIFS($C$4:$C$802,C339,$D$4:$D$802,"&gt;"&amp;D339)</x:f>
        <x:v>16</x:v>
      </x:c>
      <x:c r="F339" s="102" t="n">
        <x:v>2048011</x:v>
      </x:c>
      <x:c r="G339" s="126" t="n">
        <x:f>D339/F339*100000</x:f>
        <x:v>399.8025401230755</x:v>
      </x:c>
      <x:c r="H339" s="127" t="n">
        <x:f>1+COUNTIFS($C$4:$C$802,C339,$G$4:$G$802,"&gt;"&amp;G339)</x:f>
        <x:v>21</x:v>
      </x:c>
      <x:c r="I339" s="128" t="n">
        <x:f>D339/SUMIF($C$4:$C$802,C339,$D$4:$D$802)</x:f>
        <x:v>0.018857278407402887</x:v>
      </x:c>
      <x:c r="J339" s="103" t="n">
        <x:f>(D339/SUMIF($A$4:$A$802,A339,$D$4:$D$802))/(SUMIF($C$4:$C$802,C339,$D$4:$D$802)/SUM($D$4:$D$802))</x:f>
        <x:v>0.9764822636822865</x:v>
      </x:c>
    </x:row>
    <x:row r="340">
      <x:c r="A340" s="101" t="str">
        <x:v>長野県</x:v>
      </x:c>
      <x:c r="B340" s="101" t="str">
        <x:v>O</x:v>
      </x:c>
      <x:c r="C340" s="101" t="str">
        <x:v>教育，学習支援業</x:v>
      </x:c>
      <x:c r="D340" s="102" t="n">
        <x:v>2757</x:v>
      </x:c>
      <x:c r="E340" s="102" t="n">
        <x:f>1+COUNTIFS($C$4:$C$802,C340,$D$4:$D$802,"&gt;"&amp;D340)</x:f>
        <x:v>17</x:v>
      </x:c>
      <x:c r="F340" s="102" t="n">
        <x:v>2048011</x:v>
      </x:c>
      <x:c r="G340" s="126" t="n">
        <x:f>D340/F340*100000</x:f>
        <x:v>134.61841757685872</x:v>
      </x:c>
      <x:c r="H340" s="127" t="n">
        <x:f>1+COUNTIFS($C$4:$C$802,C340,$G$4:$G$802,"&gt;"&amp;G340)</x:f>
        <x:v>22</x:v>
      </x:c>
      <x:c r="I340" s="128" t="n">
        <x:f>D340/SUMIF($C$4:$C$802,C340,$D$4:$D$802)</x:f>
        <x:v>0.01687714637266845</x:v>
      </x:c>
      <x:c r="J340" s="103" t="n">
        <x:f>(D340/SUMIF($A$4:$A$802,A340,$D$4:$D$802))/(SUMIF($C$4:$C$802,C340,$D$4:$D$802)/SUM($D$4:$D$802))</x:f>
        <x:v>0.8739455258830383</x:v>
      </x:c>
    </x:row>
    <x:row r="341">
      <x:c r="A341" s="101" t="str">
        <x:v>長野県</x:v>
      </x:c>
      <x:c r="B341" s="101" t="str">
        <x:v>P</x:v>
      </x:c>
      <x:c r="C341" s="101" t="str">
        <x:v>医療，福祉</x:v>
      </x:c>
      <x:c r="D341" s="102" t="n">
        <x:v>7411</x:v>
      </x:c>
      <x:c r="E341" s="102" t="n">
        <x:f>1+COUNTIFS($C$4:$C$802,C341,$D$4:$D$802,"&gt;"&amp;D341)</x:f>
        <x:v>16</x:v>
      </x:c>
      <x:c r="F341" s="102" t="n">
        <x:v>2048011</x:v>
      </x:c>
      <x:c r="G341" s="126" t="n">
        <x:f>D341/F341*100000</x:f>
        <x:v>361.86329077334057</x:v>
      </x:c>
      <x:c r="H341" s="127" t="n">
        <x:f>1+COUNTIFS($C$4:$C$802,C341,$G$4:$G$802,"&gt;"&amp;G341)</x:f>
        <x:v>30</x:v>
      </x:c>
      <x:c r="I341" s="128" t="n">
        <x:f>D341/SUMIF($C$4:$C$802,C341,$D$4:$D$802)</x:f>
        <x:v>0.016022709829179017</x:v>
      </x:c>
      <x:c r="J341" s="103" t="n">
        <x:f>(D341/SUMIF($A$4:$A$802,A341,$D$4:$D$802))/(SUMIF($C$4:$C$802,C341,$D$4:$D$802)/SUM($D$4:$D$802))</x:f>
        <x:v>0.8297004279355058</x:v>
      </x:c>
    </x:row>
    <x:row r="342">
      <x:c r="A342" s="101" t="str">
        <x:v>長野県</x:v>
      </x:c>
      <x:c r="B342" s="101" t="str">
        <x:v>Q</x:v>
      </x:c>
      <x:c r="C342" s="101" t="str">
        <x:v>複合サービス事業</x:v>
      </x:c>
      <x:c r="D342" s="102" t="n">
        <x:v>852</x:v>
      </x:c>
      <x:c r="E342" s="102" t="n">
        <x:f>1+COUNTIFS($C$4:$C$802,C342,$D$4:$D$802,"&gt;"&amp;D342)</x:f>
        <x:v>14</x:v>
      </x:c>
      <x:c r="F342" s="102" t="n">
        <x:v>2048011</x:v>
      </x:c>
      <x:c r="G342" s="126" t="n">
        <x:f>D342/F342*100000</x:f>
        <x:v>41.601339055307804</x:v>
      </x:c>
      <x:c r="H342" s="127" t="n">
        <x:f>1+COUNTIFS($C$4:$C$802,C342,$G$4:$G$802,"&gt;"&amp;G342)</x:f>
        <x:v>16</x:v>
      </x:c>
      <x:c r="I342" s="128" t="n">
        <x:f>D342/SUMIF($C$4:$C$802,C342,$D$4:$D$802)</x:f>
        <x:v>0.026516448289813577</x:v>
      </x:c>
      <x:c r="J342" s="103" t="n">
        <x:f>(D342/SUMIF($A$4:$A$802,A342,$D$4:$D$802))/(SUMIF($C$4:$C$802,C342,$D$4:$D$802)/SUM($D$4:$D$802))</x:f>
        <x:v>1.3730953582721983</x:v>
      </x:c>
    </x:row>
    <x:row r="343">
      <x:c r="A343" s="101" t="str">
        <x:v>長野県</x:v>
      </x:c>
      <x:c r="B343" s="101" t="str">
        <x:v>R</x:v>
      </x:c>
      <x:c r="C343" s="101" t="str">
        <x:v>サービス業（他に分類されないもの）</x:v>
      </x:c>
      <x:c r="D343" s="102" t="n">
        <x:v>6696</x:v>
      </x:c>
      <x:c r="E343" s="102" t="n">
        <x:f>1+COUNTIFS($C$4:$C$802,C343,$D$4:$D$802,"&gt;"&amp;D343)</x:f>
        <x:v>16</x:v>
      </x:c>
      <x:c r="F343" s="102" t="n">
        <x:v>2048011</x:v>
      </x:c>
      <x:c r="G343" s="126" t="n">
        <x:f>D343/F343*100000</x:f>
        <x:v>326.9513689135459</x:v>
      </x:c>
      <x:c r="H343" s="127" t="n">
        <x:f>1+COUNTIFS($C$4:$C$802,C343,$G$4:$G$802,"&gt;"&amp;G343)</x:f>
        <x:v>25</x:v>
      </x:c>
      <x:c r="I343" s="128" t="n">
        <x:f>D343/SUMIF($C$4:$C$802,C343,$D$4:$D$802)</x:f>
        <x:v>0.018135921909363726</x:v>
      </x:c>
      <x:c r="J343" s="103" t="n">
        <x:f>(D343/SUMIF($A$4:$A$802,A343,$D$4:$D$802))/(SUMIF($C$4:$C$802,C343,$D$4:$D$802)/SUM($D$4:$D$802))</x:f>
        <x:v>0.9391284202002558</x:v>
      </x:c>
    </x:row>
    <x:row r="344">
      <x:c r="A344" s="101" t="str">
        <x:v>岐阜県</x:v>
      </x:c>
      <x:c r="B344" s="101" t="str">
        <x:v>AB</x:v>
      </x:c>
      <x:c r="C344" s="101" t="str">
        <x:v>農林漁業</x:v>
      </x:c>
      <x:c r="D344" s="102" t="n">
        <x:v>915</x:v>
      </x:c>
      <x:c r="E344" s="102" t="n">
        <x:f>1+COUNTIFS($C$4:$C$802,C344,$D$4:$D$802,"&gt;"&amp;D344)</x:f>
        <x:v>17</x:v>
      </x:c>
      <x:c r="F344" s="102" t="n">
        <x:v>1978742</x:v>
      </x:c>
      <x:c r="G344" s="126" t="n">
        <x:f>D344/F344*100000</x:f>
        <x:v>46.24150091320647</x:v>
      </x:c>
      <x:c r="H344" s="127" t="n">
        <x:f>1+COUNTIFS($C$4:$C$802,C344,$G$4:$G$802,"&gt;"&amp;G344)</x:f>
        <x:v>25</x:v>
      </x:c>
      <x:c r="I344" s="128" t="n">
        <x:f>D344/SUMIF($C$4:$C$802,C344,$D$4:$D$802)</x:f>
        <x:v>0.021550708935889586</x:v>
      </x:c>
      <x:c r="J344" s="103" t="n">
        <x:f>(D344/SUMIF($A$4:$A$802,A344,$D$4:$D$802))/(SUMIF($C$4:$C$802,C344,$D$4:$D$802)/SUM($D$4:$D$802))</x:f>
        <x:v>1.2050408086770381</x:v>
      </x:c>
    </x:row>
    <x:row r="345">
      <x:c r="A345" s="101" t="str">
        <x:v>岐阜県</x:v>
      </x:c>
      <x:c r="B345" s="101" t="str">
        <x:v>C</x:v>
      </x:c>
      <x:c r="C345" s="101" t="str">
        <x:v>鉱業，採石業，砂利採取業</x:v>
      </x:c>
      <x:c r="D345" s="102" t="n">
        <x:v>76</x:v>
      </x:c>
      <x:c r="E345" s="102" t="n">
        <x:f>1+COUNTIFS($C$4:$C$802,C345,$D$4:$D$802,"&gt;"&amp;D345)</x:f>
        <x:v>3</x:v>
      </x:c>
      <x:c r="F345" s="102" t="n">
        <x:v>1978742</x:v>
      </x:c>
      <x:c r="G345" s="126" t="n">
        <x:f>D345/F345*100000</x:f>
        <x:v>3.8408241195668764</x:v>
      </x:c>
      <x:c r="H345" s="127" t="n">
        <x:f>1+COUNTIFS($C$4:$C$802,C345,$G$4:$G$802,"&gt;"&amp;G345)</x:f>
        <x:v>6</x:v>
      </x:c>
      <x:c r="I345" s="128" t="n">
        <x:f>D345/SUMIF($C$4:$C$802,C345,$D$4:$D$802)</x:f>
        <x:v>0.04075067024128686</x:v>
      </x:c>
      <x:c r="J345" s="103" t="n">
        <x:f>(D345/SUMIF($A$4:$A$802,A345,$D$4:$D$802))/(SUMIF($C$4:$C$802,C345,$D$4:$D$802)/SUM($D$4:$D$802))</x:f>
        <x:v>2.2786359728478502</x:v>
      </x:c>
    </x:row>
    <x:row r="346">
      <x:c r="A346" s="101" t="str">
        <x:v>岐阜県</x:v>
      </x:c>
      <x:c r="B346" s="101" t="str">
        <x:v>D</x:v>
      </x:c>
      <x:c r="C346" s="101" t="str">
        <x:v>建設業</x:v>
      </x:c>
      <x:c r="D346" s="102" t="n">
        <x:v>9708</x:v>
      </x:c>
      <x:c r="E346" s="102" t="n">
        <x:f>1+COUNTIFS($C$4:$C$802,C346,$D$4:$D$802,"&gt;"&amp;D346)</x:f>
        <x:v>17</x:v>
      </x:c>
      <x:c r="F346" s="102" t="n">
        <x:v>1978742</x:v>
      </x:c>
      <x:c r="G346" s="126" t="n">
        <x:f>D346/F346*100000</x:f>
        <x:v>490.61474411520044</x:v>
      </x:c>
      <x:c r="H346" s="127" t="n">
        <x:f>1+COUNTIFS($C$4:$C$802,C346,$G$4:$G$802,"&gt;"&amp;G346)</x:f>
        <x:v>11</x:v>
      </x:c>
      <x:c r="I346" s="128" t="n">
        <x:f>D346/SUMIF($C$4:$C$802,C346,$D$4:$D$802)</x:f>
        <x:v>0.02001092479412947</x:v>
      </x:c>
      <x:c r="J346" s="103" t="n">
        <x:f>(D346/SUMIF($A$4:$A$802,A346,$D$4:$D$802))/(SUMIF($C$4:$C$802,C346,$D$4:$D$802)/SUM($D$4:$D$802))</x:f>
        <x:v>1.1189414263831858</x:v>
      </x:c>
    </x:row>
    <x:row r="347">
      <x:c r="A347" s="101" t="str">
        <x:v>岐阜県</x:v>
      </x:c>
      <x:c r="B347" s="101" t="str">
        <x:v>E</x:v>
      </x:c>
      <x:c r="C347" s="101" t="str">
        <x:v>製造業</x:v>
      </x:c>
      <x:c r="D347" s="102" t="n">
        <x:v>12132</x:v>
      </x:c>
      <x:c r="E347" s="102" t="n">
        <x:f>1+COUNTIFS($C$4:$C$802,C347,$D$4:$D$802,"&gt;"&amp;D347)</x:f>
        <x:v>8</x:v>
      </x:c>
      <x:c r="F347" s="102" t="n">
        <x:v>1978742</x:v>
      </x:c>
      <x:c r="G347" s="126" t="n">
        <x:f>D347/F347*100000</x:f>
        <x:v>613.1168186655966</x:v>
      </x:c>
      <x:c r="H347" s="127" t="n">
        <x:f>1+COUNTIFS($C$4:$C$802,C347,$G$4:$G$802,"&gt;"&amp;G347)</x:f>
        <x:v>2</x:v>
      </x:c>
      <x:c r="I347" s="128" t="n">
        <x:f>D347/SUMIF($C$4:$C$802,C347,$D$4:$D$802)</x:f>
        <x:v>0.02940256945302787</x:v>
      </x:c>
      <x:c r="J347" s="103" t="n">
        <x:f>(D347/SUMIF($A$4:$A$802,A347,$D$4:$D$802))/(SUMIF($C$4:$C$802,C347,$D$4:$D$802)/SUM($D$4:$D$802))</x:f>
        <x:v>1.644089583143772</x:v>
      </x:c>
    </x:row>
    <x:row r="348">
      <x:c r="A348" s="101" t="str">
        <x:v>岐阜県</x:v>
      </x:c>
      <x:c r="B348" s="101" t="str">
        <x:v>F</x:v>
      </x:c>
      <x:c r="C348" s="101" t="str">
        <x:v>電気・ガス・熱供給・水道業</x:v>
      </x:c>
      <x:c r="D348" s="102" t="n">
        <x:v>146</x:v>
      </x:c>
      <x:c r="E348" s="102" t="n">
        <x:f>1+COUNTIFS($C$4:$C$802,C348,$D$4:$D$802,"&gt;"&amp;D348)</x:f>
        <x:v>25</x:v>
      </x:c>
      <x:c r="F348" s="102" t="n">
        <x:v>1978742</x:v>
      </x:c>
      <x:c r="G348" s="126" t="n">
        <x:f>D348/F348*100000</x:f>
        <x:v>7.378425282325842</x:v>
      </x:c>
      <x:c r="H348" s="127" t="n">
        <x:f>1+COUNTIFS($C$4:$C$802,C348,$G$4:$G$802,"&gt;"&amp;G348)</x:f>
        <x:v>30</x:v>
      </x:c>
      <x:c r="I348" s="128" t="n">
        <x:f>D348/SUMIF($C$4:$C$802,C348,$D$4:$D$802)</x:f>
        <x:v>0.015975489659700186</x:v>
      </x:c>
      <x:c r="J348" s="103" t="n">
        <x:f>(D348/SUMIF($A$4:$A$802,A348,$D$4:$D$802))/(SUMIF($C$4:$C$802,C348,$D$4:$D$802)/SUM($D$4:$D$802))</x:f>
        <x:v>0.8932939067483214</x:v>
      </x:c>
    </x:row>
    <x:row r="349">
      <x:c r="A349" s="101" t="str">
        <x:v>岐阜県</x:v>
      </x:c>
      <x:c r="B349" s="101" t="str">
        <x:v>G</x:v>
      </x:c>
      <x:c r="C349" s="101" t="str">
        <x:v>情報通信業</x:v>
      </x:c>
      <x:c r="D349" s="102" t="n">
        <x:v>559</x:v>
      </x:c>
      <x:c r="E349" s="102" t="n">
        <x:f>1+COUNTIFS($C$4:$C$802,C349,$D$4:$D$802,"&gt;"&amp;D349)</x:f>
        <x:v>22</x:v>
      </x:c>
      <x:c r="F349" s="102" t="n">
        <x:v>1978742</x:v>
      </x:c>
      <x:c r="G349" s="126" t="n">
        <x:f>D349/F349*100000</x:f>
        <x:v>28.250272142603738</x:v>
      </x:c>
      <x:c r="H349" s="127" t="n">
        <x:f>1+COUNTIFS($C$4:$C$802,C349,$G$4:$G$802,"&gt;"&amp;G349)</x:f>
        <x:v>43</x:v>
      </x:c>
      <x:c r="I349" s="128" t="n">
        <x:f>D349/SUMIF($C$4:$C$802,C349,$D$4:$D$802)</x:f>
        <x:v>0.007301558275317076</x:v>
      </x:c>
      <x:c r="J349" s="103" t="n">
        <x:f>(D349/SUMIF($A$4:$A$802,A349,$D$4:$D$802))/(SUMIF($C$4:$C$802,C349,$D$4:$D$802)/SUM($D$4:$D$802))</x:f>
        <x:v>0.40827778403325227</x:v>
      </x:c>
    </x:row>
    <x:row r="350">
      <x:c r="A350" s="101" t="str">
        <x:v>岐阜県</x:v>
      </x:c>
      <x:c r="B350" s="101" t="str">
        <x:v>H</x:v>
      </x:c>
      <x:c r="C350" s="101" t="str">
        <x:v>運輸業，郵便業</x:v>
      </x:c>
      <x:c r="D350" s="102" t="n">
        <x:v>1743</x:v>
      </x:c>
      <x:c r="E350" s="102" t="n">
        <x:f>1+COUNTIFS($C$4:$C$802,C350,$D$4:$D$802,"&gt;"&amp;D350)</x:f>
        <x:v>22</x:v>
      </x:c>
      <x:c r="F350" s="102" t="n">
        <x:v>1978742</x:v>
      </x:c>
      <x:c r="G350" s="126" t="n">
        <x:f>D350/F350*100000</x:f>
        <x:v>88.08626895269823</x:v>
      </x:c>
      <x:c r="H350" s="127" t="n">
        <x:f>1+COUNTIFS($C$4:$C$802,C350,$G$4:$G$802,"&gt;"&amp;G350)</x:f>
        <x:v>42</x:v>
      </x:c>
      <x:c r="I350" s="128" t="n">
        <x:f>D350/SUMIF($C$4:$C$802,C350,$D$4:$D$802)</x:f>
        <x:v>0.013593399051659596</x:v>
      </x:c>
      <x:c r="J350" s="103" t="n">
        <x:f>(D350/SUMIF($A$4:$A$802,A350,$D$4:$D$802))/(SUMIF($C$4:$C$802,C350,$D$4:$D$802)/SUM($D$4:$D$802))</x:f>
        <x:v>0.7600956717763488</x:v>
      </x:c>
    </x:row>
    <x:row r="351">
      <x:c r="A351" s="101" t="str">
        <x:v>岐阜県</x:v>
      </x:c>
      <x:c r="B351" s="101" t="str">
        <x:v>I</x:v>
      </x:c>
      <x:c r="C351" s="101" t="str">
        <x:v>卸売業，小売業</x:v>
      </x:c>
      <x:c r="D351" s="102" t="n">
        <x:v>21788</x:v>
      </x:c>
      <x:c r="E351" s="102" t="n">
        <x:f>1+COUNTIFS($C$4:$C$802,C351,$D$4:$D$802,"&gt;"&amp;D351)</x:f>
        <x:v>17</x:v>
      </x:c>
      <x:c r="F351" s="102" t="n">
        <x:v>1978742</x:v>
      </x:c>
      <x:c r="G351" s="126" t="n">
        <x:f>D351/F351*100000</x:f>
        <x:v>1101.103630488462</x:v>
      </x:c>
      <x:c r="H351" s="127" t="n">
        <x:f>1+COUNTIFS($C$4:$C$802,C351,$G$4:$G$802,"&gt;"&amp;G351)</x:f>
        <x:v>23</x:v>
      </x:c>
      <x:c r="I351" s="128" t="n">
        <x:f>D351/SUMIF($C$4:$C$802,C351,$D$4:$D$802)</x:f>
        <x:v>0.017729388406080137</x:v>
      </x:c>
      <x:c r="J351" s="103" t="n">
        <x:f>(D351/SUMIF($A$4:$A$802,A351,$D$4:$D$802))/(SUMIF($C$4:$C$802,C351,$D$4:$D$802)/SUM($D$4:$D$802))</x:f>
        <x:v>0.9913658342177504</x:v>
      </x:c>
    </x:row>
    <x:row r="352">
      <x:c r="A352" s="101" t="str">
        <x:v>岐阜県</x:v>
      </x:c>
      <x:c r="B352" s="101" t="str">
        <x:v>J</x:v>
      </x:c>
      <x:c r="C352" s="101" t="str">
        <x:v>金融業，保険業</x:v>
      </x:c>
      <x:c r="D352" s="102" t="n">
        <x:v>1522</x:v>
      </x:c>
      <x:c r="E352" s="102" t="n">
        <x:f>1+COUNTIFS($C$4:$C$802,C352,$D$4:$D$802,"&gt;"&amp;D352)</x:f>
        <x:v>16</x:v>
      </x:c>
      <x:c r="F352" s="102" t="n">
        <x:v>1978742</x:v>
      </x:c>
      <x:c r="G352" s="126" t="n">
        <x:f>D352/F352*100000</x:f>
        <x:v>76.9175567102735</x:v>
      </x:c>
      <x:c r="H352" s="127" t="n">
        <x:f>1+COUNTIFS($C$4:$C$802,C352,$G$4:$G$802,"&gt;"&amp;G352)</x:f>
        <x:v>20</x:v>
      </x:c>
      <x:c r="I352" s="128" t="n">
        <x:f>D352/SUMIF($C$4:$C$802,C352,$D$4:$D$802)</x:f>
        <x:v>0.01815102800171731</x:v>
      </x:c>
      <x:c r="J352" s="103" t="n">
        <x:f>(D352/SUMIF($A$4:$A$802,A352,$D$4:$D$802))/(SUMIF($C$4:$C$802,C352,$D$4:$D$802)/SUM($D$4:$D$802))</x:f>
        <x:v>1.014942456258742</x:v>
      </x:c>
    </x:row>
    <x:row r="353">
      <x:c r="A353" s="101" t="str">
        <x:v>岐阜県</x:v>
      </x:c>
      <x:c r="B353" s="101" t="str">
        <x:v>K</x:v>
      </x:c>
      <x:c r="C353" s="101" t="str">
        <x:v>不動産業，物品賃貸業</x:v>
      </x:c>
      <x:c r="D353" s="102" t="n">
        <x:v>4751</x:v>
      </x:c>
      <x:c r="E353" s="102" t="n">
        <x:f>1+COUNTIFS($C$4:$C$802,C353,$D$4:$D$802,"&gt;"&amp;D353)</x:f>
        <x:v>22</x:v>
      </x:c>
      <x:c r="F353" s="102" t="n">
        <x:v>1978742</x:v>
      </x:c>
      <x:c r="G353" s="126" t="n">
        <x:f>D353/F353*100000</x:f>
        <x:v>240.10204463239776</x:v>
      </x:c>
      <x:c r="H353" s="127" t="n">
        <x:f>1+COUNTIFS($C$4:$C$802,C353,$G$4:$G$802,"&gt;"&amp;G353)</x:f>
        <x:v>29</x:v>
      </x:c>
      <x:c r="I353" s="128" t="n">
        <x:f>D353/SUMIF($C$4:$C$802,C353,$D$4:$D$802)</x:f>
        <x:v>0.012687739013395432</x:v>
      </x:c>
      <x:c r="J353" s="103" t="n">
        <x:f>(D353/SUMIF($A$4:$A$802,A353,$D$4:$D$802))/(SUMIF($C$4:$C$802,C353,$D$4:$D$802)/SUM($D$4:$D$802))</x:f>
        <x:v>0.7094543073487115</x:v>
      </x:c>
    </x:row>
    <x:row r="354">
      <x:c r="A354" s="101" t="str">
        <x:v>岐阜県</x:v>
      </x:c>
      <x:c r="B354" s="101" t="str">
        <x:v>L</x:v>
      </x:c>
      <x:c r="C354" s="101" t="str">
        <x:v>学術研究，専門・技術サービス業</x:v>
      </x:c>
      <x:c r="D354" s="102" t="n">
        <x:v>3645</x:v>
      </x:c>
      <x:c r="E354" s="102" t="n">
        <x:f>1+COUNTIFS($C$4:$C$802,C354,$D$4:$D$802,"&gt;"&amp;D354)</x:f>
        <x:v>17</x:v>
      </x:c>
      <x:c r="F354" s="102" t="n">
        <x:v>1978742</x:v>
      </x:c>
      <x:c r="G354" s="126" t="n">
        <x:f>D354/F354*100000</x:f>
        <x:v>184.20794626080612</x:v>
      </x:c>
      <x:c r="H354" s="127" t="n">
        <x:f>1+COUNTIFS($C$4:$C$802,C354,$G$4:$G$802,"&gt;"&amp;G354)</x:f>
        <x:v>21</x:v>
      </x:c>
      <x:c r="I354" s="128" t="n">
        <x:f>D354/SUMIF($C$4:$C$802,C354,$D$4:$D$802)</x:f>
        <x:v>0.014444796702861218</x:v>
      </x:c>
      <x:c r="J354" s="103" t="n">
        <x:f>(D354/SUMIF($A$4:$A$802,A354,$D$4:$D$802))/(SUMIF($C$4:$C$802,C354,$D$4:$D$802)/SUM($D$4:$D$802))</x:f>
        <x:v>0.8077028719460441</x:v>
      </x:c>
    </x:row>
    <x:row r="355">
      <x:c r="A355" s="101" t="str">
        <x:v>岐阜県</x:v>
      </x:c>
      <x:c r="B355" s="101" t="str">
        <x:v>M</x:v>
      </x:c>
      <x:c r="C355" s="101" t="str">
        <x:v>宿泊業，飲食サービス業</x:v>
      </x:c>
      <x:c r="D355" s="102" t="n">
        <x:v>10697</x:v>
      </x:c>
      <x:c r="E355" s="102" t="n">
        <x:f>1+COUNTIFS($C$4:$C$802,C355,$D$4:$D$802,"&gt;"&amp;D355)</x:f>
        <x:v>16</x:v>
      </x:c>
      <x:c r="F355" s="102" t="n">
        <x:v>1978742</x:v>
      </x:c>
      <x:c r="G355" s="126" t="n">
        <x:f>D355/F355*100000</x:f>
        <x:v>540.5959948290379</x:v>
      </x:c>
      <x:c r="H355" s="127" t="n">
        <x:f>1+COUNTIFS($C$4:$C$802,C355,$G$4:$G$802,"&gt;"&amp;G355)</x:f>
        <x:v>15</x:v>
      </x:c>
      <x:c r="I355" s="128" t="n">
        <x:f>D355/SUMIF($C$4:$C$802,C355,$D$4:$D$802)</x:f>
        <x:v>0.017856367830827734</x:v>
      </x:c>
      <x:c r="J355" s="103" t="n">
        <x:f>(D355/SUMIF($A$4:$A$802,A355,$D$4:$D$802))/(SUMIF($C$4:$C$802,C355,$D$4:$D$802)/SUM($D$4:$D$802))</x:f>
        <x:v>0.9984660827125164</x:v>
      </x:c>
    </x:row>
    <x:row r="356">
      <x:c r="A356" s="101" t="str">
        <x:v>岐阜県</x:v>
      </x:c>
      <x:c r="B356" s="101" t="str">
        <x:v>N</x:v>
      </x:c>
      <x:c r="C356" s="101" t="str">
        <x:v>生活関連サービス業，娯楽業</x:v>
      </x:c>
      <x:c r="D356" s="102" t="n">
        <x:v>7758</x:v>
      </x:c>
      <x:c r="E356" s="102" t="n">
        <x:f>1+COUNTIFS($C$4:$C$802,C356,$D$4:$D$802,"&gt;"&amp;D356)</x:f>
        <x:v>17</x:v>
      </x:c>
      <x:c r="F356" s="102" t="n">
        <x:v>1978742</x:v>
      </x:c>
      <x:c r="G356" s="126" t="n">
        <x:f>D356/F356*100000</x:f>
        <x:v>392.06728315262933</x:v>
      </x:c>
      <x:c r="H356" s="127" t="n">
        <x:f>1+COUNTIFS($C$4:$C$802,C356,$G$4:$G$802,"&gt;"&amp;G356)</x:f>
        <x:v>22</x:v>
      </x:c>
      <x:c r="I356" s="128" t="n">
        <x:f>D356/SUMIF($C$4:$C$802,C356,$D$4:$D$802)</x:f>
        <x:v>0.017866971896022422</x:v>
      </x:c>
      <x:c r="J356" s="103" t="n">
        <x:f>(D356/SUMIF($A$4:$A$802,A356,$D$4:$D$802))/(SUMIF($C$4:$C$802,C356,$D$4:$D$802)/SUM($D$4:$D$802))</x:f>
        <x:v>0.9990590252154979</x:v>
      </x:c>
    </x:row>
    <x:row r="357">
      <x:c r="A357" s="101" t="str">
        <x:v>岐阜県</x:v>
      </x:c>
      <x:c r="B357" s="101" t="str">
        <x:v>O</x:v>
      </x:c>
      <x:c r="C357" s="101" t="str">
        <x:v>教育，学習支援業</x:v>
      </x:c>
      <x:c r="D357" s="102" t="n">
        <x:v>2907</x:v>
      </x:c>
      <x:c r="E357" s="102" t="n">
        <x:f>1+COUNTIFS($C$4:$C$802,C357,$D$4:$D$802,"&gt;"&amp;D357)</x:f>
        <x:v>16</x:v>
      </x:c>
      <x:c r="F357" s="102" t="n">
        <x:v>1978742</x:v>
      </x:c>
      <x:c r="G357" s="126" t="n">
        <x:f>D357/F357*100000</x:f>
        <x:v>146.91152257343302</x:v>
      </x:c>
      <x:c r="H357" s="127" t="n">
        <x:f>1+COUNTIFS($C$4:$C$802,C357,$G$4:$G$802,"&gt;"&amp;G357)</x:f>
        <x:v>8</x:v>
      </x:c>
      <x:c r="I357" s="128" t="n">
        <x:f>D357/SUMIF($C$4:$C$802,C357,$D$4:$D$802)</x:f>
        <x:v>0.017795380669331586</x:v>
      </x:c>
      <x:c r="J357" s="103" t="n">
        <x:f>(D357/SUMIF($A$4:$A$802,A357,$D$4:$D$802))/(SUMIF($C$4:$C$802,C357,$D$4:$D$802)/SUM($D$4:$D$802))</x:f>
        <x:v>0.9950558924200826</x:v>
      </x:c>
    </x:row>
    <x:row r="358">
      <x:c r="A358" s="101" t="str">
        <x:v>岐阜県</x:v>
      </x:c>
      <x:c r="B358" s="101" t="str">
        <x:v>P</x:v>
      </x:c>
      <x:c r="C358" s="101" t="str">
        <x:v>医療，福祉</x:v>
      </x:c>
      <x:c r="D358" s="102" t="n">
        <x:v>7286</x:v>
      </x:c>
      <x:c r="E358" s="102" t="n">
        <x:f>1+COUNTIFS($C$4:$C$802,C358,$D$4:$D$802,"&gt;"&amp;D358)</x:f>
        <x:v>18</x:v>
      </x:c>
      <x:c r="F358" s="102" t="n">
        <x:v>1978742</x:v>
      </x:c>
      <x:c r="G358" s="126" t="n">
        <x:f>D358/F358*100000</x:f>
        <x:v>368.2137438837403</x:v>
      </x:c>
      <x:c r="H358" s="127" t="n">
        <x:f>1+COUNTIFS($C$4:$C$802,C358,$G$4:$G$802,"&gt;"&amp;G358)</x:f>
        <x:v>29</x:v>
      </x:c>
      <x:c r="I358" s="128" t="n">
        <x:f>D358/SUMIF($C$4:$C$802,C358,$D$4:$D$802)</x:f>
        <x:v>0.015752457673107317</x:v>
      </x:c>
      <x:c r="J358" s="103" t="n">
        <x:f>(D358/SUMIF($A$4:$A$802,A358,$D$4:$D$802))/(SUMIF($C$4:$C$802,C358,$D$4:$D$802)/SUM($D$4:$D$802))</x:f>
        <x:v>0.8808227325384961</x:v>
      </x:c>
    </x:row>
    <x:row r="359">
      <x:c r="A359" s="101" t="str">
        <x:v>岐阜県</x:v>
      </x:c>
      <x:c r="B359" s="101" t="str">
        <x:v>Q</x:v>
      </x:c>
      <x:c r="C359" s="101" t="str">
        <x:v>複合サービス事業</x:v>
      </x:c>
      <x:c r="D359" s="102" t="n">
        <x:v>642</x:v>
      </x:c>
      <x:c r="E359" s="102" t="n">
        <x:f>1+COUNTIFS($C$4:$C$802,C359,$D$4:$D$802,"&gt;"&amp;D359)</x:f>
        <x:v>20</x:v>
      </x:c>
      <x:c r="F359" s="102" t="n">
        <x:v>1978742</x:v>
      </x:c>
      <x:c r="G359" s="126" t="n">
        <x:f>D359/F359*100000</x:f>
        <x:v>32.44485637844651</x:v>
      </x:c>
      <x:c r="H359" s="127" t="n">
        <x:f>1+COUNTIFS($C$4:$C$802,C359,$G$4:$G$802,"&gt;"&amp;G359)</x:f>
        <x:v>30</x:v>
      </x:c>
      <x:c r="I359" s="128" t="n">
        <x:f>D359/SUMIF($C$4:$C$802,C359,$D$4:$D$802)</x:f>
        <x:v>0.01998070399302854</x:v>
      </x:c>
      <x:c r="J359" s="103" t="n">
        <x:f>(D359/SUMIF($A$4:$A$802,A359,$D$4:$D$802))/(SUMIF($C$4:$C$802,C359,$D$4:$D$802)/SUM($D$4:$D$802))</x:f>
        <x:v>1.1172515841276078</x:v>
      </x:c>
    </x:row>
    <x:row r="360">
      <x:c r="A360" s="101" t="str">
        <x:v>岐阜県</x:v>
      </x:c>
      <x:c r="B360" s="101" t="str">
        <x:v>R</x:v>
      </x:c>
      <x:c r="C360" s="101" t="str">
        <x:v>サービス業（他に分類されないもの）</x:v>
      </x:c>
      <x:c r="D360" s="102" t="n">
        <x:v>5935</x:v>
      </x:c>
      <x:c r="E360" s="102" t="n">
        <x:f>1+COUNTIFS($C$4:$C$802,C360,$D$4:$D$802,"&gt;"&amp;D360)</x:f>
        <x:v>20</x:v>
      </x:c>
      <x:c r="F360" s="102" t="n">
        <x:v>1978742</x:v>
      </x:c>
      <x:c r="G360" s="126" t="n">
        <x:f>D360/F360*100000</x:f>
        <x:v>299.93804144249225</x:v>
      </x:c>
      <x:c r="H360" s="127" t="n">
        <x:f>1+COUNTIFS($C$4:$C$802,C360,$G$4:$G$802,"&gt;"&amp;G360)</x:f>
        <x:v>35</x:v>
      </x:c>
      <x:c r="I360" s="128" t="n">
        <x:f>D360/SUMIF($C$4:$C$802,C360,$D$4:$D$802)</x:f>
        <x:v>0.016074775467752943</x:v>
      </x:c>
      <x:c r="J360" s="103" t="n">
        <x:f>(D360/SUMIF($A$4:$A$802,A360,$D$4:$D$802))/(SUMIF($C$4:$C$802,C360,$D$4:$D$802)/SUM($D$4:$D$802))</x:f>
        <x:v>0.8988456243638288</x:v>
      </x:c>
    </x:row>
    <x:row r="361">
      <x:c r="A361" s="101" t="str">
        <x:v>静岡県</x:v>
      </x:c>
      <x:c r="B361" s="101" t="str">
        <x:v>AB</x:v>
      </x:c>
      <x:c r="C361" s="101" t="str">
        <x:v>農林漁業</x:v>
      </x:c>
      <x:c r="D361" s="102" t="n">
        <x:v>908</x:v>
      </x:c>
      <x:c r="E361" s="102" t="n">
        <x:f>1+COUNTIFS($C$4:$C$802,C361,$D$4:$D$802,"&gt;"&amp;D361)</x:f>
        <x:v>18</x:v>
      </x:c>
      <x:c r="F361" s="102" t="n">
        <x:v>3633202</x:v>
      </x:c>
      <x:c r="G361" s="126" t="n">
        <x:f>D361/F361*100000</x:f>
        <x:v>24.991729058830202</x:v>
      </x:c>
      <x:c r="H361" s="127" t="n">
        <x:f>1+COUNTIFS($C$4:$C$802,C361,$G$4:$G$802,"&gt;"&amp;G361)</x:f>
        <x:v>37</x:v>
      </x:c>
      <x:c r="I361" s="128" t="n">
        <x:f>D361/SUMIF($C$4:$C$802,C361,$D$4:$D$802)</x:f>
        <x:v>0.02138584012435819</x:v>
      </x:c>
      <x:c r="J361" s="103" t="n">
        <x:f>(D361/SUMIF($A$4:$A$802,A361,$D$4:$D$802))/(SUMIF($C$4:$C$802,C361,$D$4:$D$802)/SUM($D$4:$D$802))</x:f>
        <x:v>0.68154657602877</x:v>
      </x:c>
    </x:row>
    <x:row r="362">
      <x:c r="A362" s="101" t="str">
        <x:v>静岡県</x:v>
      </x:c>
      <x:c r="B362" s="101" t="str">
        <x:v>C</x:v>
      </x:c>
      <x:c r="C362" s="101" t="str">
        <x:v>鉱業，採石業，砂利採取業</x:v>
      </x:c>
      <x:c r="D362" s="102" t="n">
        <x:v>55</x:v>
      </x:c>
      <x:c r="E362" s="102" t="n">
        <x:f>1+COUNTIFS($C$4:$C$802,C362,$D$4:$D$802,"&gt;"&amp;D362)</x:f>
        <x:v>12</x:v>
      </x:c>
      <x:c r="F362" s="102" t="n">
        <x:v>3633202</x:v>
      </x:c>
      <x:c r="G362" s="126" t="n">
        <x:f>D362/F362*100000</x:f>
        <x:v>1.513816187484208</x:v>
      </x:c>
      <x:c r="H362" s="127" t="n">
        <x:f>1+COUNTIFS($C$4:$C$802,C362,$G$4:$G$802,"&gt;"&amp;G362)</x:f>
        <x:v>31</x:v>
      </x:c>
      <x:c r="I362" s="128" t="n">
        <x:f>D362/SUMIF($C$4:$C$802,C362,$D$4:$D$802)</x:f>
        <x:v>0.029490616621983913</x:v>
      </x:c>
      <x:c r="J362" s="103" t="n">
        <x:f>(D362/SUMIF($A$4:$A$802,A362,$D$4:$D$802))/(SUMIF($C$4:$C$802,C362,$D$4:$D$802)/SUM($D$4:$D$802))</x:f>
        <x:v>0.9398381670681952</x:v>
      </x:c>
    </x:row>
    <x:row r="363">
      <x:c r="A363" s="101" t="str">
        <x:v>静岡県</x:v>
      </x:c>
      <x:c r="B363" s="101" t="str">
        <x:v>D</x:v>
      </x:c>
      <x:c r="C363" s="101" t="str">
        <x:v>建設業</x:v>
      </x:c>
      <x:c r="D363" s="102" t="n">
        <x:v>16470</x:v>
      </x:c>
      <x:c r="E363" s="102" t="n">
        <x:f>1+COUNTIFS($C$4:$C$802,C363,$D$4:$D$802,"&gt;"&amp;D363)</x:f>
        <x:v>10</x:v>
      </x:c>
      <x:c r="F363" s="102" t="n">
        <x:v>3633202</x:v>
      </x:c>
      <x:c r="G363" s="126" t="n">
        <x:f>D363/F363*100000</x:f>
        <x:v>453.3191383248165</x:v>
      </x:c>
      <x:c r="H363" s="127" t="n">
        <x:f>1+COUNTIFS($C$4:$C$802,C363,$G$4:$G$802,"&gt;"&amp;G363)</x:f>
        <x:v>19</x:v>
      </x:c>
      <x:c r="I363" s="128" t="n">
        <x:f>D363/SUMIF($C$4:$C$802,C363,$D$4:$D$802)</x:f>
        <x:v>0.033949313077803085</x:v>
      </x:c>
      <x:c r="J363" s="103" t="n">
        <x:f>(D363/SUMIF($A$4:$A$802,A363,$D$4:$D$802))/(SUMIF($C$4:$C$802,C363,$D$4:$D$802)/SUM($D$4:$D$802))</x:f>
        <x:v>1.081932622340682</x:v>
      </x:c>
    </x:row>
    <x:row r="364">
      <x:c r="A364" s="101" t="str">
        <x:v>静岡県</x:v>
      </x:c>
      <x:c r="B364" s="101" t="str">
        <x:v>E</x:v>
      </x:c>
      <x:c r="C364" s="101" t="str">
        <x:v>製造業</x:v>
      </x:c>
      <x:c r="D364" s="102" t="n">
        <x:v>17620</x:v>
      </x:c>
      <x:c r="E364" s="102" t="n">
        <x:f>1+COUNTIFS($C$4:$C$802,C364,$D$4:$D$802,"&gt;"&amp;D364)</x:f>
        <x:v>5</x:v>
      </x:c>
      <x:c r="F364" s="102" t="n">
        <x:v>3633202</x:v>
      </x:c>
      <x:c r="G364" s="126" t="n">
        <x:f>D364/F364*100000</x:f>
        <x:v>484.97165860857723</x:v>
      </x:c>
      <x:c r="H364" s="127" t="n">
        <x:f>1+COUNTIFS($C$4:$C$802,C364,$G$4:$G$802,"&gt;"&amp;G364)</x:f>
        <x:v>6</x:v>
      </x:c>
      <x:c r="I364" s="128" t="n">
        <x:f>D364/SUMIF($C$4:$C$802,C364,$D$4:$D$802)</x:f>
        <x:v>0.042703039380345455</x:v>
      </x:c>
      <x:c r="J364" s="103" t="n">
        <x:f>(D364/SUMIF($A$4:$A$802,A364,$D$4:$D$802))/(SUMIF($C$4:$C$802,C364,$D$4:$D$802)/SUM($D$4:$D$802))</x:f>
        <x:v>1.360905632252762</x:v>
      </x:c>
    </x:row>
    <x:row r="365">
      <x:c r="A365" s="101" t="str">
        <x:v>静岡県</x:v>
      </x:c>
      <x:c r="B365" s="101" t="str">
        <x:v>F</x:v>
      </x:c>
      <x:c r="C365" s="101" t="str">
        <x:v>電気・ガス・熱供給・水道業</x:v>
      </x:c>
      <x:c r="D365" s="102" t="n">
        <x:v>288</x:v>
      </x:c>
      <x:c r="E365" s="102" t="n">
        <x:f>1+COUNTIFS($C$4:$C$802,C365,$D$4:$D$802,"&gt;"&amp;D365)</x:f>
        <x:v>8</x:v>
      </x:c>
      <x:c r="F365" s="102" t="n">
        <x:v>3633202</x:v>
      </x:c>
      <x:c r="G365" s="126" t="n">
        <x:f>D365/F365*100000</x:f>
        <x:v>7.926892036280944</x:v>
      </x:c>
      <x:c r="H365" s="127" t="n">
        <x:f>1+COUNTIFS($C$4:$C$802,C365,$G$4:$G$802,"&gt;"&amp;G365)</x:f>
        <x:v>27</x:v>
      </x:c>
      <x:c r="I365" s="128" t="n">
        <x:f>D365/SUMIF($C$4:$C$802,C365,$D$4:$D$802)</x:f>
        <x:v>0.03151329467118941</x:v>
      </x:c>
      <x:c r="J365" s="103" t="n">
        <x:f>(D365/SUMIF($A$4:$A$802,A365,$D$4:$D$802))/(SUMIF($C$4:$C$802,C365,$D$4:$D$802)/SUM($D$4:$D$802))</x:f>
        <x:v>1.0042990108240788</x:v>
      </x:c>
    </x:row>
    <x:row r="366">
      <x:c r="A366" s="101" t="str">
        <x:v>静岡県</x:v>
      </x:c>
      <x:c r="B366" s="101" t="str">
        <x:v>G</x:v>
      </x:c>
      <x:c r="C366" s="101" t="str">
        <x:v>情報通信業</x:v>
      </x:c>
      <x:c r="D366" s="102" t="n">
        <x:v>1387</x:v>
      </x:c>
      <x:c r="E366" s="102" t="n">
        <x:f>1+COUNTIFS($C$4:$C$802,C366,$D$4:$D$802,"&gt;"&amp;D366)</x:f>
        <x:v>10</x:v>
      </x:c>
      <x:c r="F366" s="102" t="n">
        <x:v>3633202</x:v>
      </x:c>
      <x:c r="G366" s="126" t="n">
        <x:f>D366/F366*100000</x:f>
        <x:v>38.175691855283574</x:v>
      </x:c>
      <x:c r="H366" s="127" t="n">
        <x:f>1+COUNTIFS($C$4:$C$802,C366,$G$4:$G$802,"&gt;"&amp;G366)</x:f>
        <x:v>19</x:v>
      </x:c>
      <x:c r="I366" s="128" t="n">
        <x:f>D366/SUMIF($C$4:$C$802,C366,$D$4:$D$802)</x:f>
        <x:v>0.018116746561475463</x:v>
      </x:c>
      <x:c r="J366" s="103" t="n">
        <x:f>(D366/SUMIF($A$4:$A$802,A366,$D$4:$D$802))/(SUMIF($C$4:$C$802,C366,$D$4:$D$802)/SUM($D$4:$D$802))</x:f>
        <x:v>0.5773636441661724</x:v>
      </x:c>
    </x:row>
    <x:row r="367">
      <x:c r="A367" s="101" t="str">
        <x:v>静岡県</x:v>
      </x:c>
      <x:c r="B367" s="101" t="str">
        <x:v>H</x:v>
      </x:c>
      <x:c r="C367" s="101" t="str">
        <x:v>運輸業，郵便業</x:v>
      </x:c>
      <x:c r="D367" s="102" t="n">
        <x:v>3994</x:v>
      </x:c>
      <x:c r="E367" s="102" t="n">
        <x:f>1+COUNTIFS($C$4:$C$802,C367,$D$4:$D$802,"&gt;"&amp;D367)</x:f>
        <x:v>10</x:v>
      </x:c>
      <x:c r="F367" s="102" t="n">
        <x:v>3633202</x:v>
      </x:c>
      <x:c r="G367" s="126" t="n">
        <x:f>D367/F367*100000</x:f>
        <x:v>109.93057914203503</x:v>
      </x:c>
      <x:c r="H367" s="127" t="n">
        <x:f>1+COUNTIFS($C$4:$C$802,C367,$G$4:$G$802,"&gt;"&amp;G367)</x:f>
        <x:v>14</x:v>
      </x:c>
      <x:c r="I367" s="128" t="n">
        <x:f>D367/SUMIF($C$4:$C$802,C367,$D$4:$D$802)</x:f>
        <x:v>0.031148614923883204</x:v>
      </x:c>
      <x:c r="J367" s="103" t="n">
        <x:f>(D367/SUMIF($A$4:$A$802,A367,$D$4:$D$802))/(SUMIF($C$4:$C$802,C367,$D$4:$D$802)/SUM($D$4:$D$802))</x:f>
        <x:v>0.9926770108615668</x:v>
      </x:c>
    </x:row>
    <x:row r="368">
      <x:c r="A368" s="101" t="str">
        <x:v>静岡県</x:v>
      </x:c>
      <x:c r="B368" s="101" t="str">
        <x:v>I</x:v>
      </x:c>
      <x:c r="C368" s="101" t="str">
        <x:v>卸売業，小売業</x:v>
      </x:c>
      <x:c r="D368" s="102" t="n">
        <x:v>38644</x:v>
      </x:c>
      <x:c r="E368" s="102" t="n">
        <x:f>1+COUNTIFS($C$4:$C$802,C368,$D$4:$D$802,"&gt;"&amp;D368)</x:f>
        <x:v>10</x:v>
      </x:c>
      <x:c r="F368" s="102" t="n">
        <x:v>3633202</x:v>
      </x:c>
      <x:c r="G368" s="126" t="n">
        <x:f>D368/F368*100000</x:f>
        <x:v>1063.6347772570862</x:v>
      </x:c>
      <x:c r="H368" s="127" t="n">
        <x:f>1+COUNTIFS($C$4:$C$802,C368,$G$4:$G$802,"&gt;"&amp;G368)</x:f>
        <x:v>29</x:v>
      </x:c>
      <x:c r="I368" s="128" t="n">
        <x:f>D368/SUMIF($C$4:$C$802,C368,$D$4:$D$802)</x:f>
        <x:v>0.03144549685903069</x:v>
      </x:c>
      <x:c r="J368" s="103" t="n">
        <x:f>(D368/SUMIF($A$4:$A$802,A368,$D$4:$D$802))/(SUMIF($C$4:$C$802,C368,$D$4:$D$802)/SUM($D$4:$D$802))</x:f>
        <x:v>1.002138358426496</x:v>
      </x:c>
    </x:row>
    <x:row r="369">
      <x:c r="A369" s="101" t="str">
        <x:v>静岡県</x:v>
      </x:c>
      <x:c r="B369" s="101" t="str">
        <x:v>J</x:v>
      </x:c>
      <x:c r="C369" s="101" t="str">
        <x:v>金融業，保険業</x:v>
      </x:c>
      <x:c r="D369" s="102" t="n">
        <x:v>2588</x:v>
      </x:c>
      <x:c r="E369" s="102" t="n">
        <x:f>1+COUNTIFS($C$4:$C$802,C369,$D$4:$D$802,"&gt;"&amp;D369)</x:f>
        <x:v>10</x:v>
      </x:c>
      <x:c r="F369" s="102" t="n">
        <x:v>3633202</x:v>
      </x:c>
      <x:c r="G369" s="126" t="n">
        <x:f>D369/F369*100000</x:f>
        <x:v>71.23193260380238</x:v>
      </x:c>
      <x:c r="H369" s="127" t="n">
        <x:f>1+COUNTIFS($C$4:$C$802,C369,$G$4:$G$802,"&gt;"&amp;G369)</x:f>
        <x:v>31</x:v>
      </x:c>
      <x:c r="I369" s="128" t="n">
        <x:f>D369/SUMIF($C$4:$C$802,C369,$D$4:$D$802)</x:f>
        <x:v>0.03086390306730907</x:v>
      </x:c>
      <x:c r="J369" s="103" t="n">
        <x:f>(D369/SUMIF($A$4:$A$802,A369,$D$4:$D$802))/(SUMIF($C$4:$C$802,C369,$D$4:$D$802)/SUM($D$4:$D$802))</x:f>
        <x:v>0.9836035122346933</x:v>
      </x:c>
    </x:row>
    <x:row r="370">
      <x:c r="A370" s="101" t="str">
        <x:v>静岡県</x:v>
      </x:c>
      <x:c r="B370" s="101" t="str">
        <x:v>K</x:v>
      </x:c>
      <x:c r="C370" s="101" t="str">
        <x:v>不動産業，物品賃貸業</x:v>
      </x:c>
      <x:c r="D370" s="102" t="n">
        <x:v>10555</x:v>
      </x:c>
      <x:c r="E370" s="102" t="n">
        <x:f>1+COUNTIFS($C$4:$C$802,C370,$D$4:$D$802,"&gt;"&amp;D370)</x:f>
        <x:v>10</x:v>
      </x:c>
      <x:c r="F370" s="102" t="n">
        <x:v>3633202</x:v>
      </x:c>
      <x:c r="G370" s="126" t="n">
        <x:f>D370/F370*100000</x:f>
        <x:v>290.5150883435603</x:v>
      </x:c>
      <x:c r="H370" s="127" t="n">
        <x:f>1+COUNTIFS($C$4:$C$802,C370,$G$4:$G$802,"&gt;"&amp;G370)</x:f>
        <x:v>14</x:v>
      </x:c>
      <x:c r="I370" s="128" t="n">
        <x:f>D370/SUMIF($C$4:$C$802,C370,$D$4:$D$802)</x:f>
        <x:v>0.02818755741662572</x:v>
      </x:c>
      <x:c r="J370" s="103" t="n">
        <x:f>(D370/SUMIF($A$4:$A$802,A370,$D$4:$D$802))/(SUMIF($C$4:$C$802,C370,$D$4:$D$802)/SUM($D$4:$D$802))</x:f>
        <x:v>0.8983108978746358</x:v>
      </x:c>
    </x:row>
    <x:row r="371">
      <x:c r="A371" s="101" t="str">
        <x:v>静岡県</x:v>
      </x:c>
      <x:c r="B371" s="101" t="str">
        <x:v>L</x:v>
      </x:c>
      <x:c r="C371" s="101" t="str">
        <x:v>学術研究，専門・技術サービス業</x:v>
      </x:c>
      <x:c r="D371" s="102" t="n">
        <x:v>6933</x:v>
      </x:c>
      <x:c r="E371" s="102" t="n">
        <x:f>1+COUNTIFS($C$4:$C$802,C371,$D$4:$D$802,"&gt;"&amp;D371)</x:f>
        <x:v>10</x:v>
      </x:c>
      <x:c r="F371" s="102" t="n">
        <x:v>3633202</x:v>
      </x:c>
      <x:c r="G371" s="126" t="n">
        <x:f>D371/F371*100000</x:f>
        <x:v>190.8234114150548</x:v>
      </x:c>
      <x:c r="H371" s="127" t="n">
        <x:f>1+COUNTIFS($C$4:$C$802,C371,$G$4:$G$802,"&gt;"&amp;G371)</x:f>
        <x:v>15</x:v>
      </x:c>
      <x:c r="I371" s="128" t="n">
        <x:f>D371/SUMIF($C$4:$C$802,C371,$D$4:$D$802)</x:f>
        <x:v>0.027474835539351667</x:v>
      </x:c>
      <x:c r="J371" s="103" t="n">
        <x:f>(D371/SUMIF($A$4:$A$802,A371,$D$4:$D$802))/(SUMIF($C$4:$C$802,C371,$D$4:$D$802)/SUM($D$4:$D$802))</x:f>
        <x:v>0.8755971231390032</x:v>
      </x:c>
    </x:row>
    <x:row r="372">
      <x:c r="A372" s="101" t="str">
        <x:v>静岡県</x:v>
      </x:c>
      <x:c r="B372" s="101" t="str">
        <x:v>M</x:v>
      </x:c>
      <x:c r="C372" s="101" t="str">
        <x:v>宿泊業，飲食サービス業</x:v>
      </x:c>
      <x:c r="D372" s="102" t="n">
        <x:v>18752</x:v>
      </x:c>
      <x:c r="E372" s="102" t="n">
        <x:f>1+COUNTIFS($C$4:$C$802,C372,$D$4:$D$802,"&gt;"&amp;D372)</x:f>
        <x:v>10</x:v>
      </x:c>
      <x:c r="F372" s="102" t="n">
        <x:v>3633202</x:v>
      </x:c>
      <x:c r="G372" s="126" t="n">
        <x:f>D372/F372*100000</x:f>
        <x:v>516.1287481400703</x:v>
      </x:c>
      <x:c r="H372" s="127" t="n">
        <x:f>1+COUNTIFS($C$4:$C$802,C372,$G$4:$G$802,"&gt;"&amp;G372)</x:f>
        <x:v>21</x:v>
      </x:c>
      <x:c r="I372" s="128" t="n">
        <x:f>D372/SUMIF($C$4:$C$802,C372,$D$4:$D$802)</x:f>
        <x:v>0.03130247822414524</x:v>
      </x:c>
      <x:c r="J372" s="103" t="n">
        <x:f>(D372/SUMIF($A$4:$A$802,A372,$D$4:$D$802))/(SUMIF($C$4:$C$802,C372,$D$4:$D$802)/SUM($D$4:$D$802))</x:f>
        <x:v>0.99758048927814</x:v>
      </x:c>
    </x:row>
    <x:row r="373">
      <x:c r="A373" s="101" t="str">
        <x:v>静岡県</x:v>
      </x:c>
      <x:c r="B373" s="101" t="str">
        <x:v>N</x:v>
      </x:c>
      <x:c r="C373" s="101" t="str">
        <x:v>生活関連サービス業，娯楽業</x:v>
      </x:c>
      <x:c r="D373" s="102" t="n">
        <x:v>14040</x:v>
      </x:c>
      <x:c r="E373" s="102" t="n">
        <x:f>1+COUNTIFS($C$4:$C$802,C373,$D$4:$D$802,"&gt;"&amp;D373)</x:f>
        <x:v>10</x:v>
      </x:c>
      <x:c r="F373" s="102" t="n">
        <x:v>3633202</x:v>
      </x:c>
      <x:c r="G373" s="126" t="n">
        <x:f>D373/F373*100000</x:f>
        <x:v>386.43598676869607</x:v>
      </x:c>
      <x:c r="H373" s="127" t="n">
        <x:f>1+COUNTIFS($C$4:$C$802,C373,$G$4:$G$802,"&gt;"&amp;G373)</x:f>
        <x:v>26</x:v>
      </x:c>
      <x:c r="I373" s="128" t="n">
        <x:f>D373/SUMIF($C$4:$C$802,C373,$D$4:$D$802)</x:f>
        <x:v>0.032334659115771436</x:v>
      </x:c>
      <x:c r="J373" s="103" t="n">
        <x:f>(D373/SUMIF($A$4:$A$802,A373,$D$4:$D$802))/(SUMIF($C$4:$C$802,C373,$D$4:$D$802)/SUM($D$4:$D$802))</x:f>
        <x:v>1.0304751218218906</x:v>
      </x:c>
    </x:row>
    <x:row r="374">
      <x:c r="A374" s="101" t="str">
        <x:v>静岡県</x:v>
      </x:c>
      <x:c r="B374" s="101" t="str">
        <x:v>O</x:v>
      </x:c>
      <x:c r="C374" s="101" t="str">
        <x:v>教育，学習支援業</x:v>
      </x:c>
      <x:c r="D374" s="102" t="n">
        <x:v>5231</x:v>
      </x:c>
      <x:c r="E374" s="102" t="n">
        <x:f>1+COUNTIFS($C$4:$C$802,C374,$D$4:$D$802,"&gt;"&amp;D374)</x:f>
        <x:v>10</x:v>
      </x:c>
      <x:c r="F374" s="102" t="n">
        <x:v>3633202</x:v>
      </x:c>
      <x:c r="G374" s="126" t="n">
        <x:f>D374/F374*100000</x:f>
        <x:v>143.97768139508895</x:v>
      </x:c>
      <x:c r="H374" s="127" t="n">
        <x:f>1+COUNTIFS($C$4:$C$802,C374,$G$4:$G$802,"&gt;"&amp;G374)</x:f>
        <x:v>11</x:v>
      </x:c>
      <x:c r="I374" s="128" t="n">
        <x:f>D374/SUMIF($C$4:$C$802,C374,$D$4:$D$802)</x:f>
        <x:v>0.03202189070563245</x:v>
      </x:c>
      <x:c r="J374" s="103" t="n">
        <x:f>(D374/SUMIF($A$4:$A$802,A374,$D$4:$D$802))/(SUMIF($C$4:$C$802,C374,$D$4:$D$802)/SUM($D$4:$D$802))</x:f>
        <x:v>1.0205074872664728</x:v>
      </x:c>
    </x:row>
    <x:row r="375">
      <x:c r="A375" s="101" t="str">
        <x:v>静岡県</x:v>
      </x:c>
      <x:c r="B375" s="101" t="str">
        <x:v>P</x:v>
      </x:c>
      <x:c r="C375" s="101" t="str">
        <x:v>医療，福祉</x:v>
      </x:c>
      <x:c r="D375" s="102" t="n">
        <x:v>12538</x:v>
      </x:c>
      <x:c r="E375" s="102" t="n">
        <x:f>1+COUNTIFS($C$4:$C$802,C375,$D$4:$D$802,"&gt;"&amp;D375)</x:f>
        <x:v>10</x:v>
      </x:c>
      <x:c r="F375" s="102" t="n">
        <x:v>3633202</x:v>
      </x:c>
      <x:c r="G375" s="126" t="n">
        <x:f>D375/F375*100000</x:f>
        <x:v>345.0950428850364</x:v>
      </x:c>
      <x:c r="H375" s="127" t="n">
        <x:f>1+COUNTIFS($C$4:$C$802,C375,$G$4:$G$802,"&gt;"&amp;G375)</x:f>
        <x:v>38</x:v>
      </x:c>
      <x:c r="I375" s="128" t="n">
        <x:f>D375/SUMIF($C$4:$C$802,C375,$D$4:$D$802)</x:f>
        <x:v>0.027107372262615913</x:v>
      </x:c>
      <x:c r="J375" s="103" t="n">
        <x:f>(D375/SUMIF($A$4:$A$802,A375,$D$4:$D$802))/(SUMIF($C$4:$C$802,C375,$D$4:$D$802)/SUM($D$4:$D$802))</x:f>
        <x:v>0.863886414716082</x:v>
      </x:c>
    </x:row>
    <x:row r="376">
      <x:c r="A376" s="101" t="str">
        <x:v>静岡県</x:v>
      </x:c>
      <x:c r="B376" s="101" t="str">
        <x:v>Q</x:v>
      </x:c>
      <x:c r="C376" s="101" t="str">
        <x:v>複合サービス事業</x:v>
      </x:c>
      <x:c r="D376" s="102" t="n">
        <x:v>923</x:v>
      </x:c>
      <x:c r="E376" s="102" t="n">
        <x:f>1+COUNTIFS($C$4:$C$802,C376,$D$4:$D$802,"&gt;"&amp;D376)</x:f>
        <x:v>10</x:v>
      </x:c>
      <x:c r="F376" s="102" t="n">
        <x:v>3633202</x:v>
      </x:c>
      <x:c r="G376" s="126" t="n">
        <x:f>D376/F376*100000</x:f>
        <x:v>25.40458801905317</x:v>
      </x:c>
      <x:c r="H376" s="127" t="n">
        <x:f>1+COUNTIFS($C$4:$C$802,C376,$G$4:$G$802,"&gt;"&amp;G376)</x:f>
        <x:v>33</x:v>
      </x:c>
      <x:c r="I376" s="128" t="n">
        <x:f>D376/SUMIF($C$4:$C$802,C376,$D$4:$D$802)</x:f>
        <x:v>0.028726152313964706</x:v>
      </x:c>
      <x:c r="J376" s="103" t="n">
        <x:f>(D376/SUMIF($A$4:$A$802,A376,$D$4:$D$802))/(SUMIF($C$4:$C$802,C376,$D$4:$D$802)/SUM($D$4:$D$802))</x:f>
        <x:v>0.9154754098140034</x:v>
      </x:c>
    </x:row>
    <x:row r="377">
      <x:c r="A377" s="101" t="str">
        <x:v>静岡県</x:v>
      </x:c>
      <x:c r="B377" s="101" t="str">
        <x:v>R</x:v>
      </x:c>
      <x:c r="C377" s="101" t="str">
        <x:v>サービス業（他に分類されないもの）</x:v>
      </x:c>
      <x:c r="D377" s="102" t="n">
        <x:v>10863</x:v>
      </x:c>
      <x:c r="E377" s="102" t="n">
        <x:f>1+COUNTIFS($C$4:$C$802,C377,$D$4:$D$802,"&gt;"&amp;D377)</x:f>
        <x:v>10</x:v>
      </x:c>
      <x:c r="F377" s="102" t="n">
        <x:v>3633202</x:v>
      </x:c>
      <x:c r="G377" s="126" t="n">
        <x:f>D377/F377*100000</x:f>
        <x:v>298.99245899347187</x:v>
      </x:c>
      <x:c r="H377" s="127" t="n">
        <x:f>1+COUNTIFS($C$4:$C$802,C377,$G$4:$G$802,"&gt;"&amp;G377)</x:f>
        <x:v>36</x:v>
      </x:c>
      <x:c r="I377" s="128" t="n">
        <x:f>D377/SUMIF($C$4:$C$802,C377,$D$4:$D$802)</x:f>
        <x:v>0.029422120624465076</x:v>
      </x:c>
      <x:c r="J377" s="103" t="n">
        <x:f>(D377/SUMIF($A$4:$A$802,A377,$D$4:$D$802))/(SUMIF($C$4:$C$802,C377,$D$4:$D$802)/SUM($D$4:$D$802))</x:f>
        <x:v>0.937655264160983</x:v>
      </x:c>
    </x:row>
    <x:row r="378">
      <x:c r="A378" s="101" t="str">
        <x:v>愛知県</x:v>
      </x:c>
      <x:c r="B378" s="101" t="str">
        <x:v>AB</x:v>
      </x:c>
      <x:c r="C378" s="101" t="str">
        <x:v>農林漁業</x:v>
      </x:c>
      <x:c r="D378" s="102" t="n">
        <x:v>1084</x:v>
      </x:c>
      <x:c r="E378" s="102" t="n">
        <x:f>1+COUNTIFS($C$4:$C$802,C378,$D$4:$D$802,"&gt;"&amp;D378)</x:f>
        <x:v>9</x:v>
      </x:c>
      <x:c r="F378" s="102" t="n">
        <x:v>7542415</x:v>
      </x:c>
      <x:c r="G378" s="126" t="n">
        <x:f>D378/F378*100000</x:f>
        <x:v>14.372054574032322</x:v>
      </x:c>
      <x:c r="H378" s="127" t="n">
        <x:f>1+COUNTIFS($C$4:$C$802,C378,$G$4:$G$802,"&gt;"&amp;G378)</x:f>
        <x:v>43</x:v>
      </x:c>
      <x:c r="I378" s="128" t="n">
        <x:f>D378/SUMIF($C$4:$C$802,C378,$D$4:$D$802)</x:f>
        <x:v>0.02553111310000471</x:v>
      </x:c>
      <x:c r="J378" s="103" t="n">
        <x:f>(D378/SUMIF($A$4:$A$802,A378,$D$4:$D$802))/(SUMIF($C$4:$C$802,C378,$D$4:$D$802)/SUM($D$4:$D$802))</x:f>
        <x:v>0.4399263033490723</x:v>
      </x:c>
    </x:row>
    <x:row r="379">
      <x:c r="A379" s="101" t="str">
        <x:v>愛知県</x:v>
      </x:c>
      <x:c r="B379" s="101" t="str">
        <x:v>C</x:v>
      </x:c>
      <x:c r="C379" s="101" t="str">
        <x:v>鉱業，採石業，砂利採取業</x:v>
      </x:c>
      <x:c r="D379" s="102" t="n">
        <x:v>74</x:v>
      </x:c>
      <x:c r="E379" s="102" t="n">
        <x:f>1+COUNTIFS($C$4:$C$802,C379,$D$4:$D$802,"&gt;"&amp;D379)</x:f>
        <x:v>4</x:v>
      </x:c>
      <x:c r="F379" s="102" t="n">
        <x:v>7542415</x:v>
      </x:c>
      <x:c r="G379" s="126" t="n">
        <x:f>D379/F379*100000</x:f>
        <x:v>0.9811181166774833</x:v>
      </x:c>
      <x:c r="H379" s="127" t="n">
        <x:f>1+COUNTIFS($C$4:$C$802,C379,$G$4:$G$802,"&gt;"&amp;G379)</x:f>
        <x:v>37</x:v>
      </x:c>
      <x:c r="I379" s="128" t="n">
        <x:f>D379/SUMIF($C$4:$C$802,C379,$D$4:$D$802)</x:f>
        <x:v>0.03967828418230563</x:v>
      </x:c>
      <x:c r="J379" s="103" t="n">
        <x:f>(D379/SUMIF($A$4:$A$802,A379,$D$4:$D$802))/(SUMIF($C$4:$C$802,C379,$D$4:$D$802)/SUM($D$4:$D$802))</x:f>
        <x:v>0.683696038444656</x:v>
      </x:c>
    </x:row>
    <x:row r="380">
      <x:c r="A380" s="101" t="str">
        <x:v>愛知県</x:v>
      </x:c>
      <x:c r="B380" s="101" t="str">
        <x:v>D</x:v>
      </x:c>
      <x:c r="C380" s="101" t="str">
        <x:v>建設業</x:v>
      </x:c>
      <x:c r="D380" s="102" t="n">
        <x:v>27164</x:v>
      </x:c>
      <x:c r="E380" s="102" t="n">
        <x:f>1+COUNTIFS($C$4:$C$802,C380,$D$4:$D$802,"&gt;"&amp;D380)</x:f>
        <x:v>4</x:v>
      </x:c>
      <x:c r="F380" s="102" t="n">
        <x:v>7542415</x:v>
      </x:c>
      <x:c r="G380" s="126" t="n">
        <x:f>D380/F380*100000</x:f>
        <x:v>360.1498989382048</x:v>
      </x:c>
      <x:c r="H380" s="127" t="n">
        <x:f>1+COUNTIFS($C$4:$C$802,C380,$G$4:$G$802,"&gt;"&amp;G380)</x:f>
        <x:v>38</x:v>
      </x:c>
      <x:c r="I380" s="128" t="n">
        <x:f>D380/SUMIF($C$4:$C$802,C380,$D$4:$D$802)</x:f>
        <x:v>0.055992661836396056</x:v>
      </x:c>
      <x:c r="J380" s="103" t="n">
        <x:f>(D380/SUMIF($A$4:$A$802,A380,$D$4:$D$802))/(SUMIF($C$4:$C$802,C380,$D$4:$D$802)/SUM($D$4:$D$802))</x:f>
        <x:v>0.9648088839634589</x:v>
      </x:c>
    </x:row>
    <x:row r="381">
      <x:c r="A381" s="101" t="str">
        <x:v>愛知県</x:v>
      </x:c>
      <x:c r="B381" s="101" t="str">
        <x:v>E</x:v>
      </x:c>
      <x:c r="C381" s="101" t="str">
        <x:v>製造業</x:v>
      </x:c>
      <x:c r="D381" s="102" t="n">
        <x:v>32549</x:v>
      </x:c>
      <x:c r="E381" s="102" t="n">
        <x:f>1+COUNTIFS($C$4:$C$802,C381,$D$4:$D$802,"&gt;"&amp;D381)</x:f>
        <x:v>3</x:v>
      </x:c>
      <x:c r="F381" s="102" t="n">
        <x:v>7542415</x:v>
      </x:c>
      <x:c r="G381" s="126" t="n">
        <x:f>D381/F381*100000</x:f>
        <x:v>431.5461294558838</x:v>
      </x:c>
      <x:c r="H381" s="127" t="n">
        <x:f>1+COUNTIFS($C$4:$C$802,C381,$G$4:$G$802,"&gt;"&amp;G381)</x:f>
        <x:v>12</x:v>
      </x:c>
      <x:c r="I381" s="128" t="n">
        <x:f>D381/SUMIF($C$4:$C$802,C381,$D$4:$D$802)</x:f>
        <x:v>0.07888429221287538</x:v>
      </x:c>
      <x:c r="J381" s="103" t="n">
        <x:f>(D381/SUMIF($A$4:$A$802,A381,$D$4:$D$802))/(SUMIF($C$4:$C$802,C381,$D$4:$D$802)/SUM($D$4:$D$802))</x:f>
        <x:v>1.3592542921879842</x:v>
      </x:c>
    </x:row>
    <x:row r="382">
      <x:c r="A382" s="101" t="str">
        <x:v>愛知県</x:v>
      </x:c>
      <x:c r="B382" s="101" t="str">
        <x:v>F</x:v>
      </x:c>
      <x:c r="C382" s="101" t="str">
        <x:v>電気・ガス・熱供給・水道業</x:v>
      </x:c>
      <x:c r="D382" s="102" t="n">
        <x:v>438</x:v>
      </x:c>
      <x:c r="E382" s="102" t="n">
        <x:f>1+COUNTIFS($C$4:$C$802,C382,$D$4:$D$802,"&gt;"&amp;D382)</x:f>
        <x:v>3</x:v>
      </x:c>
      <x:c r="F382" s="102" t="n">
        <x:v>7542415</x:v>
      </x:c>
      <x:c r="G382" s="126" t="n">
        <x:f>D382/F382*100000</x:f>
        <x:v>5.807158582496455</x:v>
      </x:c>
      <x:c r="H382" s="127" t="n">
        <x:f>1+COUNTIFS($C$4:$C$802,C382,$G$4:$G$802,"&gt;"&amp;G382)</x:f>
        <x:v>37</x:v>
      </x:c>
      <x:c r="I382" s="128" t="n">
        <x:f>D382/SUMIF($C$4:$C$802,C382,$D$4:$D$802)</x:f>
        <x:v>0.04792646897910056</x:v>
      </x:c>
      <x:c r="J382" s="103" t="n">
        <x:f>(D382/SUMIF($A$4:$A$802,A382,$D$4:$D$802))/(SUMIF($C$4:$C$802,C382,$D$4:$D$802)/SUM($D$4:$D$802))</x:f>
        <x:v>0.8258204116664934</x:v>
      </x:c>
    </x:row>
    <x:row r="383">
      <x:c r="A383" s="101" t="str">
        <x:v>愛知県</x:v>
      </x:c>
      <x:c r="B383" s="101" t="str">
        <x:v>G</x:v>
      </x:c>
      <x:c r="C383" s="101" t="str">
        <x:v>情報通信業</x:v>
      </x:c>
      <x:c r="D383" s="102" t="n">
        <x:v>3873</x:v>
      </x:c>
      <x:c r="E383" s="102" t="n">
        <x:f>1+COUNTIFS($C$4:$C$802,C383,$D$4:$D$802,"&gt;"&amp;D383)</x:f>
        <x:v>4</x:v>
      </x:c>
      <x:c r="F383" s="102" t="n">
        <x:v>7542415</x:v>
      </x:c>
      <x:c r="G383" s="126" t="n">
        <x:f>D383/F383*100000</x:f>
        <x:v>51.34960089043098</x:v>
      </x:c>
      <x:c r="H383" s="127" t="n">
        <x:f>1+COUNTIFS($C$4:$C$802,C383,$G$4:$G$802,"&gt;"&amp;G383)</x:f>
        <x:v>7</x:v>
      </x:c>
      <x:c r="I383" s="128" t="n">
        <x:f>D383/SUMIF($C$4:$C$802,C383,$D$4:$D$802)</x:f>
        <x:v>0.05058843506315391</x:v>
      </x:c>
      <x:c r="J383" s="103" t="n">
        <x:f>(D383/SUMIF($A$4:$A$802,A383,$D$4:$D$802))/(SUMIF($C$4:$C$802,C383,$D$4:$D$802)/SUM($D$4:$D$802))</x:f>
        <x:v>0.8716887173064062</x:v>
      </x:c>
    </x:row>
    <x:row r="384">
      <x:c r="A384" s="101" t="str">
        <x:v>愛知県</x:v>
      </x:c>
      <x:c r="B384" s="101" t="str">
        <x:v>H</x:v>
      </x:c>
      <x:c r="C384" s="101" t="str">
        <x:v>運輸業，郵便業</x:v>
      </x:c>
      <x:c r="D384" s="102" t="n">
        <x:v>7597</x:v>
      </x:c>
      <x:c r="E384" s="102" t="n">
        <x:f>1+COUNTIFS($C$4:$C$802,C384,$D$4:$D$802,"&gt;"&amp;D384)</x:f>
        <x:v>3</x:v>
      </x:c>
      <x:c r="F384" s="102" t="n">
        <x:v>7542415</x:v>
      </x:c>
      <x:c r="G384" s="126" t="n">
        <x:f>D384/F384*100000</x:f>
        <x:v>100.72370719457892</x:v>
      </x:c>
      <x:c r="H384" s="127" t="n">
        <x:f>1+COUNTIFS($C$4:$C$802,C384,$G$4:$G$802,"&gt;"&amp;G384)</x:f>
        <x:v>27</x:v>
      </x:c>
      <x:c r="I384" s="128" t="n">
        <x:f>D384/SUMIF($C$4:$C$802,C384,$D$4:$D$802)</x:f>
        <x:v>0.05924787871225356</x:v>
      </x:c>
      <x:c r="J384" s="103" t="n">
        <x:f>(D384/SUMIF($A$4:$A$802,A384,$D$4:$D$802))/(SUMIF($C$4:$C$802,C384,$D$4:$D$802)/SUM($D$4:$D$802))</x:f>
        <x:v>1.0208994868755288</x:v>
      </x:c>
    </x:row>
    <x:row r="385">
      <x:c r="A385" s="101" t="str">
        <x:v>愛知県</x:v>
      </x:c>
      <x:c r="B385" s="101" t="str">
        <x:v>I</x:v>
      </x:c>
      <x:c r="C385" s="101" t="str">
        <x:v>卸売業，小売業</x:v>
      </x:c>
      <x:c r="D385" s="102" t="n">
        <x:v>70359</x:v>
      </x:c>
      <x:c r="E385" s="102" t="n">
        <x:f>1+COUNTIFS($C$4:$C$802,C385,$D$4:$D$802,"&gt;"&amp;D385)</x:f>
        <x:v>3</x:v>
      </x:c>
      <x:c r="F385" s="102" t="n">
        <x:v>7542415</x:v>
      </x:c>
      <x:c r="G385" s="126" t="n">
        <x:f>D385/F385*100000</x:f>
        <x:v>932.8444536663654</x:v>
      </x:c>
      <x:c r="H385" s="127" t="n">
        <x:f>1+COUNTIFS($C$4:$C$802,C385,$G$4:$G$802,"&gt;"&amp;G385)</x:f>
        <x:v>40</x:v>
      </x:c>
      <x:c r="I385" s="128" t="n">
        <x:f>D385/SUMIF($C$4:$C$802,C385,$D$4:$D$802)</x:f>
        <x:v>0.05725270969631872</x:v>
      </x:c>
      <x:c r="J385" s="103" t="n">
        <x:f>(D385/SUMIF($A$4:$A$802,A385,$D$4:$D$802))/(SUMIF($C$4:$C$802,C385,$D$4:$D$802)/SUM($D$4:$D$802))</x:f>
        <x:v>0.9865207535120916</x:v>
      </x:c>
    </x:row>
    <x:row r="386">
      <x:c r="A386" s="101" t="str">
        <x:v>愛知県</x:v>
      </x:c>
      <x:c r="B386" s="101" t="str">
        <x:v>J</x:v>
      </x:c>
      <x:c r="C386" s="101" t="str">
        <x:v>金融業，保険業</x:v>
      </x:c>
      <x:c r="D386" s="102" t="n">
        <x:v>4858</x:v>
      </x:c>
      <x:c r="E386" s="102" t="n">
        <x:f>1+COUNTIFS($C$4:$C$802,C386,$D$4:$D$802,"&gt;"&amp;D386)</x:f>
        <x:v>3</x:v>
      </x:c>
      <x:c r="F386" s="102" t="n">
        <x:v>7542415</x:v>
      </x:c>
      <x:c r="G386" s="126" t="n">
        <x:f>D386/F386*100000</x:f>
        <x:v>64.40907852458396</x:v>
      </x:c>
      <x:c r="H386" s="127" t="n">
        <x:f>1+COUNTIFS($C$4:$C$802,C386,$G$4:$G$802,"&gt;"&amp;G386)</x:f>
        <x:v>36</x:v>
      </x:c>
      <x:c r="I386" s="128" t="n">
        <x:f>D386/SUMIF($C$4:$C$802,C386,$D$4:$D$802)</x:f>
        <x:v>0.05793541000810953</x:v>
      </x:c>
      <x:c r="J386" s="103" t="n">
        <x:f>(D386/SUMIF($A$4:$A$802,A386,$D$4:$D$802))/(SUMIF($C$4:$C$802,C386,$D$4:$D$802)/SUM($D$4:$D$802))</x:f>
        <x:v>0.998284354389381</x:v>
      </x:c>
    </x:row>
    <x:row r="387">
      <x:c r="A387" s="101" t="str">
        <x:v>愛知県</x:v>
      </x:c>
      <x:c r="B387" s="101" t="str">
        <x:v>K</x:v>
      </x:c>
      <x:c r="C387" s="101" t="str">
        <x:v>不動産業，物品賃貸業</x:v>
      </x:c>
      <x:c r="D387" s="102" t="n">
        <x:v>20198</x:v>
      </x:c>
      <x:c r="E387" s="102" t="n">
        <x:f>1+COUNTIFS($C$4:$C$802,C387,$D$4:$D$802,"&gt;"&amp;D387)</x:f>
        <x:v>4</x:v>
      </x:c>
      <x:c r="F387" s="102" t="n">
        <x:v>7542415</x:v>
      </x:c>
      <x:c r="G387" s="126" t="n">
        <x:f>D387/F387*100000</x:f>
        <x:v>267.7922124412406</x:v>
      </x:c>
      <x:c r="H387" s="127" t="n">
        <x:f>1+COUNTIFS($C$4:$C$802,C387,$G$4:$G$802,"&gt;"&amp;G387)</x:f>
        <x:v>20</x:v>
      </x:c>
      <x:c r="I387" s="128" t="n">
        <x:f>D387/SUMIF($C$4:$C$802,C387,$D$4:$D$802)</x:f>
        <x:v>0.053939581686499885</x:v>
      </x:c>
      <x:c r="J387" s="103" t="n">
        <x:f>(D387/SUMIF($A$4:$A$802,A387,$D$4:$D$802))/(SUMIF($C$4:$C$802,C387,$D$4:$D$802)/SUM($D$4:$D$802))</x:f>
        <x:v>0.9294322845459029</x:v>
      </x:c>
    </x:row>
    <x:row r="388">
      <x:c r="A388" s="101" t="str">
        <x:v>愛知県</x:v>
      </x:c>
      <x:c r="B388" s="101" t="str">
        <x:v>L</x:v>
      </x:c>
      <x:c r="C388" s="101" t="str">
        <x:v>学術研究，専門・技術サービス業</x:v>
      </x:c>
      <x:c r="D388" s="102" t="n">
        <x:v>15233</x:v>
      </x:c>
      <x:c r="E388" s="102" t="n">
        <x:f>1+COUNTIFS($C$4:$C$802,C388,$D$4:$D$802,"&gt;"&amp;D388)</x:f>
        <x:v>4</x:v>
      </x:c>
      <x:c r="F388" s="102" t="n">
        <x:v>7542415</x:v>
      </x:c>
      <x:c r="G388" s="126" t="n">
        <x:f>D388/F388*100000</x:f>
        <x:v>201.96449015335273</x:v>
      </x:c>
      <x:c r="H388" s="127" t="n">
        <x:f>1+COUNTIFS($C$4:$C$802,C388,$G$4:$G$802,"&gt;"&amp;G388)</x:f>
        <x:v>10</x:v>
      </x:c>
      <x:c r="I388" s="128" t="n">
        <x:f>D388/SUMIF($C$4:$C$802,C388,$D$4:$D$802)</x:f>
        <x:v>0.06036696520567488</x:v>
      </x:c>
      <x:c r="J388" s="103" t="n">
        <x:f>(D388/SUMIF($A$4:$A$802,A388,$D$4:$D$802))/(SUMIF($C$4:$C$802,C388,$D$4:$D$802)/SUM($D$4:$D$802))</x:f>
        <x:v>1.040182452810086</x:v>
      </x:c>
    </x:row>
    <x:row r="389">
      <x:c r="A389" s="101" t="str">
        <x:v>愛知県</x:v>
      </x:c>
      <x:c r="B389" s="101" t="str">
        <x:v>M</x:v>
      </x:c>
      <x:c r="C389" s="101" t="str">
        <x:v>宿泊業，飲食サービス業</x:v>
      </x:c>
      <x:c r="D389" s="102" t="n">
        <x:v>33907</x:v>
      </x:c>
      <x:c r="E389" s="102" t="n">
        <x:f>1+COUNTIFS($C$4:$C$802,C389,$D$4:$D$802,"&gt;"&amp;D389)</x:f>
        <x:v>3</x:v>
      </x:c>
      <x:c r="F389" s="102" t="n">
        <x:v>7542415</x:v>
      </x:c>
      <x:c r="G389" s="126" t="n">
        <x:f>D389/F389*100000</x:f>
        <x:v>449.55097273220844</x:v>
      </x:c>
      <x:c r="H389" s="127" t="n">
        <x:f>1+COUNTIFS($C$4:$C$802,C389,$G$4:$G$802,"&gt;"&amp;G389)</x:f>
        <x:v>38</x:v>
      </x:c>
      <x:c r="I389" s="128" t="n">
        <x:f>D389/SUMIF($C$4:$C$802,C389,$D$4:$D$802)</x:f>
        <x:v>0.056600529497978495</x:v>
      </x:c>
      <x:c r="J389" s="103" t="n">
        <x:f>(D389/SUMIF($A$4:$A$802,A389,$D$4:$D$802))/(SUMIF($C$4:$C$802,C389,$D$4:$D$802)/SUM($D$4:$D$802))</x:f>
        <x:v>0.9752830443433038</x:v>
      </x:c>
    </x:row>
    <x:row r="390">
      <x:c r="A390" s="101" t="str">
        <x:v>愛知県</x:v>
      </x:c>
      <x:c r="B390" s="101" t="str">
        <x:v>N</x:v>
      </x:c>
      <x:c r="C390" s="101" t="str">
        <x:v>生活関連サービス業，娯楽業</x:v>
      </x:c>
      <x:c r="D390" s="102" t="n">
        <x:v>23871</x:v>
      </x:c>
      <x:c r="E390" s="102" t="n">
        <x:f>1+COUNTIFS($C$4:$C$802,C390,$D$4:$D$802,"&gt;"&amp;D390)</x:f>
        <x:v>3</x:v>
      </x:c>
      <x:c r="F390" s="102" t="n">
        <x:v>7542415</x:v>
      </x:c>
      <x:c r="G390" s="126" t="n">
        <x:f>D390/F390*100000</x:f>
        <x:v>316.4901427460568</x:v>
      </x:c>
      <x:c r="H390" s="127" t="n">
        <x:f>1+COUNTIFS($C$4:$C$802,C390,$G$4:$G$802,"&gt;"&amp;G390)</x:f>
        <x:v>39</x:v>
      </x:c>
      <x:c r="I390" s="128" t="n">
        <x:f>D390/SUMIF($C$4:$C$802,C390,$D$4:$D$802)</x:f>
        <x:v>0.05497582961200712</x:v>
      </x:c>
      <x:c r="J390" s="103" t="n">
        <x:f>(D390/SUMIF($A$4:$A$802,A390,$D$4:$D$802))/(SUMIF($C$4:$C$802,C390,$D$4:$D$802)/SUM($D$4:$D$802))</x:f>
        <x:v>0.9472878601111321</x:v>
      </x:c>
    </x:row>
    <x:row r="391">
      <x:c r="A391" s="101" t="str">
        <x:v>愛知県</x:v>
      </x:c>
      <x:c r="B391" s="101" t="str">
        <x:v>O</x:v>
      </x:c>
      <x:c r="C391" s="101" t="str">
        <x:v>教育，学習支援業</x:v>
      </x:c>
      <x:c r="D391" s="102" t="n">
        <x:v>11128</x:v>
      </x:c>
      <x:c r="E391" s="102" t="n">
        <x:f>1+COUNTIFS($C$4:$C$802,C391,$D$4:$D$802,"&gt;"&amp;D391)</x:f>
        <x:v>3</x:v>
      </x:c>
      <x:c r="F391" s="102" t="n">
        <x:v>7542415</x:v>
      </x:c>
      <x:c r="G391" s="126" t="n">
        <x:f>D391/F391*100000</x:f>
        <x:v>147.53895138360855</x:v>
      </x:c>
      <x:c r="H391" s="127" t="n">
        <x:f>1+COUNTIFS($C$4:$C$802,C391,$G$4:$G$802,"&gt;"&amp;G391)</x:f>
        <x:v>7</x:v>
      </x:c>
      <x:c r="I391" s="128" t="n">
        <x:f>D391/SUMIF($C$4:$C$802,C391,$D$4:$D$802)</x:f>
        <x:v>0.06812074168844923</x:v>
      </x:c>
      <x:c r="J391" s="103" t="n">
        <x:f>(D391/SUMIF($A$4:$A$802,A391,$D$4:$D$802))/(SUMIF($C$4:$C$802,C391,$D$4:$D$802)/SUM($D$4:$D$802))</x:f>
        <x:v>1.1737876823079436</x:v>
      </x:c>
    </x:row>
    <x:row r="392">
      <x:c r="A392" s="101" t="str">
        <x:v>愛知県</x:v>
      </x:c>
      <x:c r="B392" s="101" t="str">
        <x:v>P</x:v>
      </x:c>
      <x:c r="C392" s="101" t="str">
        <x:v>医療，福祉</x:v>
      </x:c>
      <x:c r="D392" s="102" t="n">
        <x:v>24849</x:v>
      </x:c>
      <x:c r="E392" s="102" t="n">
        <x:f>1+COUNTIFS($C$4:$C$802,C392,$D$4:$D$802,"&gt;"&amp;D392)</x:f>
        <x:v>4</x:v>
      </x:c>
      <x:c r="F392" s="102" t="n">
        <x:v>7542415</x:v>
      </x:c>
      <x:c r="G392" s="126" t="n">
        <x:f>D392/F392*100000</x:f>
        <x:v>329.4568119097133</x:v>
      </x:c>
      <x:c r="H392" s="127" t="n">
        <x:f>1+COUNTIFS($C$4:$C$802,C392,$G$4:$G$802,"&gt;"&amp;G392)</x:f>
        <x:v>44</x:v>
      </x:c>
      <x:c r="I392" s="128" t="n">
        <x:f>D392/SUMIF($C$4:$C$802,C392,$D$4:$D$802)</x:f>
        <x:v>0.053723966609805614</x:v>
      </x:c>
      <x:c r="J392" s="103" t="n">
        <x:f>(D392/SUMIF($A$4:$A$802,A392,$D$4:$D$802))/(SUMIF($C$4:$C$802,C392,$D$4:$D$802)/SUM($D$4:$D$802))</x:f>
        <x:v>0.9257170237476411</x:v>
      </x:c>
    </x:row>
    <x:row r="393">
      <x:c r="A393" s="101" t="str">
        <x:v>愛知県</x:v>
      </x:c>
      <x:c r="B393" s="101" t="str">
        <x:v>Q</x:v>
      </x:c>
      <x:c r="C393" s="101" t="str">
        <x:v>複合サービス事業</x:v>
      </x:c>
      <x:c r="D393" s="102" t="n">
        <x:v>1319</x:v>
      </x:c>
      <x:c r="E393" s="102" t="n">
        <x:f>1+COUNTIFS($C$4:$C$802,C393,$D$4:$D$802,"&gt;"&amp;D393)</x:f>
        <x:v>4</x:v>
      </x:c>
      <x:c r="F393" s="102" t="n">
        <x:v>7542415</x:v>
      </x:c>
      <x:c r="G393" s="126" t="n">
        <x:f>D393/F393*100000</x:f>
        <x:v>17.487767512129736</x:v>
      </x:c>
      <x:c r="H393" s="127" t="n">
        <x:f>1+COUNTIFS($C$4:$C$802,C393,$G$4:$G$802,"&gt;"&amp;G393)</x:f>
        <x:v>42</x:v>
      </x:c>
      <x:c r="I393" s="128" t="n">
        <x:f>D393/SUMIF($C$4:$C$802,C393,$D$4:$D$802)</x:f>
        <x:v>0.041050698702187916</x:v>
      </x:c>
      <x:c r="J393" s="103" t="n">
        <x:f>(D393/SUMIF($A$4:$A$802,A393,$D$4:$D$802))/(SUMIF($C$4:$C$802,C393,$D$4:$D$802)/SUM($D$4:$D$802))</x:f>
        <x:v>0.7073440965621963</x:v>
      </x:c>
    </x:row>
    <x:row r="394">
      <x:c r="A394" s="101" t="str">
        <x:v>愛知県</x:v>
      </x:c>
      <x:c r="B394" s="101" t="str">
        <x:v>R</x:v>
      </x:c>
      <x:c r="C394" s="101" t="str">
        <x:v>サービス業（他に分類されないもの）</x:v>
      </x:c>
      <x:c r="D394" s="102" t="n">
        <x:v>20731</x:v>
      </x:c>
      <x:c r="E394" s="102" t="n">
        <x:f>1+COUNTIFS($C$4:$C$802,C394,$D$4:$D$802,"&gt;"&amp;D394)</x:f>
        <x:v>3</x:v>
      </x:c>
      <x:c r="F394" s="102" t="n">
        <x:v>7542415</x:v>
      </x:c>
      <x:c r="G394" s="126" t="n">
        <x:f>D394/F394*100000</x:f>
        <x:v>274.85891455190415</x:v>
      </x:c>
      <x:c r="H394" s="127" t="n">
        <x:f>1+COUNTIFS($C$4:$C$802,C394,$G$4:$G$802,"&gt;"&amp;G394)</x:f>
        <x:v>40</x:v>
      </x:c>
      <x:c r="I394" s="128" t="n">
        <x:f>D394/SUMIF($C$4:$C$802,C394,$D$4:$D$802)</x:f>
        <x:v>0.05614931259005666</x:v>
      </x:c>
      <x:c r="J394" s="103" t="n">
        <x:f>(D394/SUMIF($A$4:$A$802,A394,$D$4:$D$802))/(SUMIF($C$4:$C$802,C394,$D$4:$D$802)/SUM($D$4:$D$802))</x:f>
        <x:v>0.9675081312193393</x:v>
      </x:c>
    </x:row>
    <x:row r="395">
      <x:c r="A395" s="101" t="str">
        <x:v>三重県</x:v>
      </x:c>
      <x:c r="B395" s="101" t="str">
        <x:v>AB</x:v>
      </x:c>
      <x:c r="C395" s="101" t="str">
        <x:v>農林漁業</x:v>
      </x:c>
      <x:c r="D395" s="102" t="n">
        <x:v>804</x:v>
      </x:c>
      <x:c r="E395" s="102" t="n">
        <x:f>1+COUNTIFS($C$4:$C$802,C395,$D$4:$D$802,"&gt;"&amp;D395)</x:f>
        <x:v>23</x:v>
      </x:c>
      <x:c r="F395" s="102" t="n">
        <x:v>1770254</x:v>
      </x:c>
      <x:c r="G395" s="126" t="n">
        <x:f>D395/F395*100000</x:f>
        <x:v>45.41721131543835</x:v>
      </x:c>
      <x:c r="H395" s="127" t="n">
        <x:f>1+COUNTIFS($C$4:$C$802,C395,$G$4:$G$802,"&gt;"&amp;G395)</x:f>
        <x:v>27</x:v>
      </x:c>
      <x:c r="I395" s="128" t="n">
        <x:f>D395/SUMIF($C$4:$C$802,C395,$D$4:$D$802)</x:f>
        <x:v>0.018936360638748883</x:v>
      </x:c>
      <x:c r="J395" s="103" t="n">
        <x:f>(D395/SUMIF($A$4:$A$802,A395,$D$4:$D$802))/(SUMIF($C$4:$C$802,C395,$D$4:$D$802)/SUM($D$4:$D$802))</x:f>
        <x:v>1.351172395124749</x:v>
      </x:c>
    </x:row>
    <x:row r="396">
      <x:c r="A396" s="101" t="str">
        <x:v>三重県</x:v>
      </x:c>
      <x:c r="B396" s="101" t="str">
        <x:v>C</x:v>
      </x:c>
      <x:c r="C396" s="101" t="str">
        <x:v>鉱業，採石業，砂利採取業</x:v>
      </x:c>
      <x:c r="D396" s="102" t="n">
        <x:v>40</x:v>
      </x:c>
      <x:c r="E396" s="102" t="n">
        <x:f>1+COUNTIFS($C$4:$C$802,C396,$D$4:$D$802,"&gt;"&amp;D396)</x:f>
        <x:v>18</x:v>
      </x:c>
      <x:c r="F396" s="102" t="n">
        <x:v>1770254</x:v>
      </x:c>
      <x:c r="G396" s="126" t="n">
        <x:f>D396/F396*100000</x:f>
        <x:v>2.259562752011858</x:v>
      </x:c>
      <x:c r="H396" s="127" t="n">
        <x:f>1+COUNTIFS($C$4:$C$802,C396,$G$4:$G$802,"&gt;"&amp;G396)</x:f>
        <x:v>23</x:v>
      </x:c>
      <x:c r="I396" s="128" t="n">
        <x:f>D396/SUMIF($C$4:$C$802,C396,$D$4:$D$802)</x:f>
        <x:v>0.021447721179624665</x:v>
      </x:c>
      <x:c r="J396" s="103" t="n">
        <x:f>(D396/SUMIF($A$4:$A$802,A396,$D$4:$D$802))/(SUMIF($C$4:$C$802,C396,$D$4:$D$802)/SUM($D$4:$D$802))</x:f>
        <x:v>1.5303663332721535</x:v>
      </x:c>
    </x:row>
    <x:row r="397">
      <x:c r="A397" s="101" t="str">
        <x:v>三重県</x:v>
      </x:c>
      <x:c r="B397" s="101" t="str">
        <x:v>D</x:v>
      </x:c>
      <x:c r="C397" s="101" t="str">
        <x:v>建設業</x:v>
      </x:c>
      <x:c r="D397" s="102" t="n">
        <x:v>7422</x:v>
      </x:c>
      <x:c r="E397" s="102" t="n">
        <x:f>1+COUNTIFS($C$4:$C$802,C397,$D$4:$D$802,"&gt;"&amp;D397)</x:f>
        <x:v>22</x:v>
      </x:c>
      <x:c r="F397" s="102" t="n">
        <x:v>1770254</x:v>
      </x:c>
      <x:c r="G397" s="126" t="n">
        <x:f>D397/F397*100000</x:f>
        <x:v>419.2618686358003</x:v>
      </x:c>
      <x:c r="H397" s="127" t="n">
        <x:f>1+COUNTIFS($C$4:$C$802,C397,$G$4:$G$802,"&gt;"&amp;G397)</x:f>
        <x:v>28</x:v>
      </x:c>
      <x:c r="I397" s="128" t="n">
        <x:f>D397/SUMIF($C$4:$C$802,C397,$D$4:$D$802)</x:f>
        <x:v>0.015298834345079206</x:v>
      </x:c>
      <x:c r="J397" s="103" t="n">
        <x:f>(D397/SUMIF($A$4:$A$802,A397,$D$4:$D$802))/(SUMIF($C$4:$C$802,C397,$D$4:$D$802)/SUM($D$4:$D$802))</x:f>
        <x:v>1.0916227800582903</x:v>
      </x:c>
    </x:row>
    <x:row r="398">
      <x:c r="A398" s="101" t="str">
        <x:v>三重県</x:v>
      </x:c>
      <x:c r="B398" s="101" t="str">
        <x:v>E</x:v>
      </x:c>
      <x:c r="C398" s="101" t="str">
        <x:v>製造業</x:v>
      </x:c>
      <x:c r="D398" s="102" t="n">
        <x:v>6789</x:v>
      </x:c>
      <x:c r="E398" s="102" t="n">
        <x:f>1+COUNTIFS($C$4:$C$802,C398,$D$4:$D$802,"&gt;"&amp;D398)</x:f>
        <x:v>19</x:v>
      </x:c>
      <x:c r="F398" s="102" t="n">
        <x:v>1770254</x:v>
      </x:c>
      <x:c r="G398" s="126" t="n">
        <x:f>D398/F398*100000</x:f>
        <x:v>383.50428808521264</x:v>
      </x:c>
      <x:c r="H398" s="127" t="n">
        <x:f>1+COUNTIFS($C$4:$C$802,C398,$G$4:$G$802,"&gt;"&amp;G398)</x:f>
        <x:v>16</x:v>
      </x:c>
      <x:c r="I398" s="128" t="n">
        <x:f>D398/SUMIF($C$4:$C$802,C398,$D$4:$D$802)</x:f>
        <x:v>0.016453515003017324</x:v>
      </x:c>
      <x:c r="J398" s="103" t="n">
        <x:f>(D398/SUMIF($A$4:$A$802,A398,$D$4:$D$802))/(SUMIF($C$4:$C$802,C398,$D$4:$D$802)/SUM($D$4:$D$802))</x:f>
        <x:v>1.1740130904222543</x:v>
      </x:c>
    </x:row>
    <x:row r="399">
      <x:c r="A399" s="101" t="str">
        <x:v>三重県</x:v>
      </x:c>
      <x:c r="B399" s="101" t="str">
        <x:v>F</x:v>
      </x:c>
      <x:c r="C399" s="101" t="str">
        <x:v>電気・ガス・熱供給・水道業</x:v>
      </x:c>
      <x:c r="D399" s="102" t="n">
        <x:v>179</x:v>
      </x:c>
      <x:c r="E399" s="102" t="n">
        <x:f>1+COUNTIFS($C$4:$C$802,C399,$D$4:$D$802,"&gt;"&amp;D399)</x:f>
        <x:v>21</x:v>
      </x:c>
      <x:c r="F399" s="102" t="n">
        <x:v>1770254</x:v>
      </x:c>
      <x:c r="G399" s="126" t="n">
        <x:f>D399/F399*100000</x:f>
        <x:v>10.111543315253066</x:v>
      </x:c>
      <x:c r="H399" s="127" t="n">
        <x:f>1+COUNTIFS($C$4:$C$802,C399,$G$4:$G$802,"&gt;"&amp;G399)</x:f>
        <x:v>17</x:v>
      </x:c>
      <x:c r="I399" s="128" t="n">
        <x:f>D399/SUMIF($C$4:$C$802,C399,$D$4:$D$802)</x:f>
        <x:v>0.019586388007440638</x:v>
      </x:c>
      <x:c r="J399" s="103" t="n">
        <x:f>(D399/SUMIF($A$4:$A$802,A399,$D$4:$D$802))/(SUMIF($C$4:$C$802,C399,$D$4:$D$802)/SUM($D$4:$D$802))</x:f>
        <x:v>1.3975540126597807</x:v>
      </x:c>
    </x:row>
    <x:row r="400">
      <x:c r="A400" s="101" t="str">
        <x:v>三重県</x:v>
      </x:c>
      <x:c r="B400" s="101" t="str">
        <x:v>G</x:v>
      </x:c>
      <x:c r="C400" s="101" t="str">
        <x:v>情報通信業</x:v>
      </x:c>
      <x:c r="D400" s="102" t="n">
        <x:v>469</x:v>
      </x:c>
      <x:c r="E400" s="102" t="n">
        <x:f>1+COUNTIFS($C$4:$C$802,C400,$D$4:$D$802,"&gt;"&amp;D400)</x:f>
        <x:v>27</x:v>
      </x:c>
      <x:c r="F400" s="102" t="n">
        <x:v>1770254</x:v>
      </x:c>
      <x:c r="G400" s="126" t="n">
        <x:f>D400/F400*100000</x:f>
        <x:v>26.493373267339035</x:v>
      </x:c>
      <x:c r="H400" s="127" t="n">
        <x:f>1+COUNTIFS($C$4:$C$802,C400,$G$4:$G$802,"&gt;"&amp;G400)</x:f>
        <x:v>46</x:v>
      </x:c>
      <x:c r="I400" s="128" t="n">
        <x:f>D400/SUMIF($C$4:$C$802,C400,$D$4:$D$802)</x:f>
        <x:v>0.006125994331169425</x:v>
      </x:c>
      <x:c r="J400" s="103" t="n">
        <x:f>(D400/SUMIF($A$4:$A$802,A400,$D$4:$D$802))/(SUMIF($C$4:$C$802,C400,$D$4:$D$802)/SUM($D$4:$D$802))</x:f>
        <x:v>0.43711009685933516</x:v>
      </x:c>
    </x:row>
    <x:row r="401">
      <x:c r="A401" s="101" t="str">
        <x:v>三重県</x:v>
      </x:c>
      <x:c r="B401" s="101" t="str">
        <x:v>H</x:v>
      </x:c>
      <x:c r="C401" s="101" t="str">
        <x:v>運輸業，郵便業</x:v>
      </x:c>
      <x:c r="D401" s="102" t="n">
        <x:v>1943</x:v>
      </x:c>
      <x:c r="E401" s="102" t="n">
        <x:f>1+COUNTIFS($C$4:$C$802,C401,$D$4:$D$802,"&gt;"&amp;D401)</x:f>
        <x:v>19</x:v>
      </x:c>
      <x:c r="F401" s="102" t="n">
        <x:v>1770254</x:v>
      </x:c>
      <x:c r="G401" s="126" t="n">
        <x:f>D401/F401*100000</x:f>
        <x:v>109.75826067897601</x:v>
      </x:c>
      <x:c r="H401" s="127" t="n">
        <x:f>1+COUNTIFS($C$4:$C$802,C401,$G$4:$G$802,"&gt;"&amp;G401)</x:f>
        <x:v>15</x:v>
      </x:c>
      <x:c r="I401" s="128" t="n">
        <x:f>D401/SUMIF($C$4:$C$802,C401,$D$4:$D$802)</x:f>
        <x:v>0.01515316945345645</x:v>
      </x:c>
      <x:c r="J401" s="103" t="n">
        <x:f>(D401/SUMIF($A$4:$A$802,A401,$D$4:$D$802))/(SUMIF($C$4:$C$802,C401,$D$4:$D$802)/SUM($D$4:$D$802))</x:f>
        <x:v>1.0812291049348477</x:v>
      </x:c>
    </x:row>
    <x:row r="402">
      <x:c r="A402" s="101" t="str">
        <x:v>三重県</x:v>
      </x:c>
      <x:c r="B402" s="101" t="str">
        <x:v>I</x:v>
      </x:c>
      <x:c r="C402" s="101" t="str">
        <x:v>卸売業，小売業</x:v>
      </x:c>
      <x:c r="D402" s="102" t="n">
        <x:v>17456</x:v>
      </x:c>
      <x:c r="E402" s="102" t="n">
        <x:f>1+COUNTIFS($C$4:$C$802,C402,$D$4:$D$802,"&gt;"&amp;D402)</x:f>
        <x:v>24</x:v>
      </x:c>
      <x:c r="F402" s="102" t="n">
        <x:v>1770254</x:v>
      </x:c>
      <x:c r="G402" s="126" t="n">
        <x:f>D402/F402*100000</x:f>
        <x:v>986.073184977975</x:v>
      </x:c>
      <x:c r="H402" s="127" t="n">
        <x:f>1+COUNTIFS($C$4:$C$802,C402,$G$4:$G$802,"&gt;"&amp;G402)</x:f>
        <x:v>38</x:v>
      </x:c>
      <x:c r="I402" s="128" t="n">
        <x:f>D402/SUMIF($C$4:$C$802,C402,$D$4:$D$802)</x:f>
        <x:v>0.014204342023890896</x:v>
      </x:c>
      <x:c r="J402" s="103" t="n">
        <x:f>(D402/SUMIF($A$4:$A$802,A402,$D$4:$D$802))/(SUMIF($C$4:$C$802,C402,$D$4:$D$802)/SUM($D$4:$D$802))</x:f>
        <x:v>1.01352710796597</x:v>
      </x:c>
    </x:row>
    <x:row r="403">
      <x:c r="A403" s="101" t="str">
        <x:v>三重県</x:v>
      </x:c>
      <x:c r="B403" s="101" t="str">
        <x:v>J</x:v>
      </x:c>
      <x:c r="C403" s="101" t="str">
        <x:v>金融業，保険業</x:v>
      </x:c>
      <x:c r="D403" s="102" t="n">
        <x:v>1299</x:v>
      </x:c>
      <x:c r="E403" s="102" t="n">
        <x:f>1+COUNTIFS($C$4:$C$802,C403,$D$4:$D$802,"&gt;"&amp;D403)</x:f>
        <x:v>21</x:v>
      </x:c>
      <x:c r="F403" s="102" t="n">
        <x:v>1770254</x:v>
      </x:c>
      <x:c r="G403" s="126" t="n">
        <x:f>D403/F403*100000</x:f>
        <x:v>73.37930037158509</x:v>
      </x:c>
      <x:c r="H403" s="127" t="n">
        <x:f>1+COUNTIFS($C$4:$C$802,C403,$G$4:$G$802,"&gt;"&amp;G403)</x:f>
        <x:v>26</x:v>
      </x:c>
      <x:c r="I403" s="128" t="n">
        <x:f>D403/SUMIF($C$4:$C$802,C403,$D$4:$D$802)</x:f>
        <x:v>0.015491580403568192</x:v>
      </x:c>
      <x:c r="J403" s="103" t="n">
        <x:f>(D403/SUMIF($A$4:$A$802,A403,$D$4:$D$802))/(SUMIF($C$4:$C$802,C403,$D$4:$D$802)/SUM($D$4:$D$802))</x:f>
        <x:v>1.1053758532315223</x:v>
      </x:c>
    </x:row>
    <x:row r="404">
      <x:c r="A404" s="101" t="str">
        <x:v>三重県</x:v>
      </x:c>
      <x:c r="B404" s="101" t="str">
        <x:v>K</x:v>
      </x:c>
      <x:c r="C404" s="101" t="str">
        <x:v>不動産業，物品賃貸業</x:v>
      </x:c>
      <x:c r="D404" s="102" t="n">
        <x:v>3645</x:v>
      </x:c>
      <x:c r="E404" s="102" t="n">
        <x:f>1+COUNTIFS($C$4:$C$802,C404,$D$4:$D$802,"&gt;"&amp;D404)</x:f>
        <x:v>25</x:v>
      </x:c>
      <x:c r="F404" s="102" t="n">
        <x:v>1770254</x:v>
      </x:c>
      <x:c r="G404" s="126" t="n">
        <x:f>D404/F404*100000</x:f>
        <x:v>205.90265577708058</x:v>
      </x:c>
      <x:c r="H404" s="127" t="n">
        <x:f>1+COUNTIFS($C$4:$C$802,C404,$G$4:$G$802,"&gt;"&amp;G404)</x:f>
        <x:v>41</x:v>
      </x:c>
      <x:c r="I404" s="128" t="n">
        <x:f>D404/SUMIF($C$4:$C$802,C404,$D$4:$D$802)</x:f>
        <x:v>0.009734120964812956</x:v>
      </x:c>
      <x:c r="J404" s="103" t="n">
        <x:f>(D404/SUMIF($A$4:$A$802,A404,$D$4:$D$802))/(SUMIF($C$4:$C$802,C404,$D$4:$D$802)/SUM($D$4:$D$802))</x:f>
        <x:v>0.6945619482735692</x:v>
      </x:c>
    </x:row>
    <x:row r="405">
      <x:c r="A405" s="101" t="str">
        <x:v>三重県</x:v>
      </x:c>
      <x:c r="B405" s="101" t="str">
        <x:v>L</x:v>
      </x:c>
      <x:c r="C405" s="101" t="str">
        <x:v>学術研究，専門・技術サービス業</x:v>
      </x:c>
      <x:c r="D405" s="102" t="n">
        <x:v>2712</x:v>
      </x:c>
      <x:c r="E405" s="102" t="n">
        <x:f>1+COUNTIFS($C$4:$C$802,C405,$D$4:$D$802,"&gt;"&amp;D405)</x:f>
        <x:v>25</x:v>
      </x:c>
      <x:c r="F405" s="102" t="n">
        <x:v>1770254</x:v>
      </x:c>
      <x:c r="G405" s="126" t="n">
        <x:f>D405/F405*100000</x:f>
        <x:v>153.198354586404</x:v>
      </x:c>
      <x:c r="H405" s="127" t="n">
        <x:f>1+COUNTIFS($C$4:$C$802,C405,$G$4:$G$802,"&gt;"&amp;G405)</x:f>
        <x:v>42</x:v>
      </x:c>
      <x:c r="I405" s="128" t="n">
        <x:f>D405/SUMIF($C$4:$C$802,C405,$D$4:$D$802)</x:f>
        <x:v>0.010747404295791392</x:v>
      </x:c>
      <x:c r="J405" s="103" t="n">
        <x:f>(D405/SUMIF($A$4:$A$802,A405,$D$4:$D$802))/(SUMIF($C$4:$C$802,C405,$D$4:$D$802)/SUM($D$4:$D$802))</x:f>
        <x:v>0.7668630884650235</x:v>
      </x:c>
    </x:row>
    <x:row r="406">
      <x:c r="A406" s="101" t="str">
        <x:v>三重県</x:v>
      </x:c>
      <x:c r="B406" s="101" t="str">
        <x:v>M</x:v>
      </x:c>
      <x:c r="C406" s="101" t="str">
        <x:v>宿泊業，飲食サービス業</x:v>
      </x:c>
      <x:c r="D406" s="102" t="n">
        <x:v>8007</x:v>
      </x:c>
      <x:c r="E406" s="102" t="n">
        <x:f>1+COUNTIFS($C$4:$C$802,C406,$D$4:$D$802,"&gt;"&amp;D406)</x:f>
        <x:v>24</x:v>
      </x:c>
      <x:c r="F406" s="102" t="n">
        <x:v>1770254</x:v>
      </x:c>
      <x:c r="G406" s="126" t="n">
        <x:f>D406/F406*100000</x:f>
        <x:v>452.3079738839737</x:v>
      </x:c>
      <x:c r="H406" s="127" t="n">
        <x:f>1+COUNTIFS($C$4:$C$802,C406,$G$4:$G$802,"&gt;"&amp;G406)</x:f>
        <x:v>37</x:v>
      </x:c>
      <x:c r="I406" s="128" t="n">
        <x:f>D406/SUMIF($C$4:$C$802,C406,$D$4:$D$802)</x:f>
        <x:v>0.013365984595815431</x:v>
      </x:c>
      <x:c r="J406" s="103" t="n">
        <x:f>(D406/SUMIF($A$4:$A$802,A406,$D$4:$D$802))/(SUMIF($C$4:$C$802,C406,$D$4:$D$802)/SUM($D$4:$D$802))</x:f>
        <x:v>0.9537075135004206</x:v>
      </x:c>
    </x:row>
    <x:row r="407">
      <x:c r="A407" s="101" t="str">
        <x:v>三重県</x:v>
      </x:c>
      <x:c r="B407" s="101" t="str">
        <x:v>N</x:v>
      </x:c>
      <x:c r="C407" s="101" t="str">
        <x:v>生活関連サービス業，娯楽業</x:v>
      </x:c>
      <x:c r="D407" s="102" t="n">
        <x:v>6125</x:v>
      </x:c>
      <x:c r="E407" s="102" t="n">
        <x:f>1+COUNTIFS($C$4:$C$802,C407,$D$4:$D$802,"&gt;"&amp;D407)</x:f>
        <x:v>24</x:v>
      </x:c>
      <x:c r="F407" s="102" t="n">
        <x:v>1770254</x:v>
      </x:c>
      <x:c r="G407" s="126" t="n">
        <x:f>D407/F407*100000</x:f>
        <x:v>345.9955464018158</x:v>
      </x:c>
      <x:c r="H407" s="127" t="n">
        <x:f>1+COUNTIFS($C$4:$C$802,C407,$G$4:$G$802,"&gt;"&amp;G407)</x:f>
        <x:v>36</x:v>
      </x:c>
      <x:c r="I407" s="128" t="n">
        <x:f>D407/SUMIF($C$4:$C$802,C407,$D$4:$D$802)</x:f>
        <x:v>0.014106110191175218</x:v>
      </x:c>
      <x:c r="J407" s="103" t="n">
        <x:f>(D407/SUMIF($A$4:$A$802,A407,$D$4:$D$802))/(SUMIF($C$4:$C$802,C407,$D$4:$D$802)/SUM($D$4:$D$802))</x:f>
        <x:v>1.0065179395613328</x:v>
      </x:c>
    </x:row>
    <x:row r="408">
      <x:c r="A408" s="101" t="str">
        <x:v>三重県</x:v>
      </x:c>
      <x:c r="B408" s="101" t="str">
        <x:v>O</x:v>
      </x:c>
      <x:c r="C408" s="101" t="str">
        <x:v>教育，学習支援業</x:v>
      </x:c>
      <x:c r="D408" s="102" t="n">
        <x:v>2197</x:v>
      </x:c>
      <x:c r="E408" s="102" t="n">
        <x:f>1+COUNTIFS($C$4:$C$802,C408,$D$4:$D$802,"&gt;"&amp;D408)</x:f>
        <x:v>21</x:v>
      </x:c>
      <x:c r="F408" s="102" t="n">
        <x:v>1770254</x:v>
      </x:c>
      <x:c r="G408" s="126" t="n">
        <x:f>D408/F408*100000</x:f>
        <x:v>124.1064841542513</x:v>
      </x:c>
      <x:c r="H408" s="127" t="n">
        <x:f>1+COUNTIFS($C$4:$C$802,C408,$G$4:$G$802,"&gt;"&amp;G408)</x:f>
        <x:v>30</x:v>
      </x:c>
      <x:c r="I408" s="128" t="n">
        <x:f>D408/SUMIF($C$4:$C$802,C408,$D$4:$D$802)</x:f>
        <x:v>0.013449071665126074</x:v>
      </x:c>
      <x:c r="J408" s="103" t="n">
        <x:f>(D408/SUMIF($A$4:$A$802,A408,$D$4:$D$802))/(SUMIF($C$4:$C$802,C408,$D$4:$D$802)/SUM($D$4:$D$802))</x:f>
        <x:v>0.9596360525996726</x:v>
      </x:c>
    </x:row>
    <x:row r="409">
      <x:c r="A409" s="101" t="str">
        <x:v>三重県</x:v>
      </x:c>
      <x:c r="B409" s="101" t="str">
        <x:v>P</x:v>
      </x:c>
      <x:c r="C409" s="101" t="str">
        <x:v>医療，福祉</x:v>
      </x:c>
      <x:c r="D409" s="102" t="n">
        <x:v>5977</x:v>
      </x:c>
      <x:c r="E409" s="102" t="n">
        <x:f>1+COUNTIFS($C$4:$C$802,C409,$D$4:$D$802,"&gt;"&amp;D409)</x:f>
        <x:v>26</x:v>
      </x:c>
      <x:c r="F409" s="102" t="n">
        <x:v>1770254</x:v>
      </x:c>
      <x:c r="G409" s="126" t="n">
        <x:f>D409/F409*100000</x:f>
        <x:v>337.6351642193719</x:v>
      </x:c>
      <x:c r="H409" s="127" t="n">
        <x:f>1+COUNTIFS($C$4:$C$802,C409,$G$4:$G$802,"&gt;"&amp;G409)</x:f>
        <x:v>40</x:v>
      </x:c>
      <x:c r="I409" s="128" t="n">
        <x:f>D409/SUMIF($C$4:$C$802,C409,$D$4:$D$802)</x:f>
        <x:v>0.012922377094724461</x:v>
      </x:c>
      <x:c r="J409" s="103" t="n">
        <x:f>(D409/SUMIF($A$4:$A$802,A409,$D$4:$D$802))/(SUMIF($C$4:$C$802,C409,$D$4:$D$802)/SUM($D$4:$D$802))</x:f>
        <x:v>0.9220546409564813</x:v>
      </x:c>
    </x:row>
    <x:row r="410">
      <x:c r="A410" s="101" t="str">
        <x:v>三重県</x:v>
      </x:c>
      <x:c r="B410" s="101" t="str">
        <x:v>Q</x:v>
      </x:c>
      <x:c r="C410" s="101" t="str">
        <x:v>複合サービス事業</x:v>
      </x:c>
      <x:c r="D410" s="102" t="n">
        <x:v>658</x:v>
      </x:c>
      <x:c r="E410" s="102" t="n">
        <x:f>1+COUNTIFS($C$4:$C$802,C410,$D$4:$D$802,"&gt;"&amp;D410)</x:f>
        <x:v>18</x:v>
      </x:c>
      <x:c r="F410" s="102" t="n">
        <x:v>1770254</x:v>
      </x:c>
      <x:c r="G410" s="126" t="n">
        <x:f>D410/F410*100000</x:f>
        <x:v>37.16980727059507</x:v>
      </x:c>
      <x:c r="H410" s="127" t="n">
        <x:f>1+COUNTIFS($C$4:$C$802,C410,$G$4:$G$802,"&gt;"&amp;G410)</x:f>
        <x:v>26</x:v>
      </x:c>
      <x:c r="I410" s="128" t="n">
        <x:f>D410/SUMIF($C$4:$C$802,C410,$D$4:$D$802)</x:f>
        <x:v>0.02047866546325978</x:v>
      </x:c>
      <x:c r="J410" s="103" t="n">
        <x:f>(D410/SUMIF($A$4:$A$802,A410,$D$4:$D$802))/(SUMIF($C$4:$C$802,C410,$D$4:$D$802)/SUM($D$4:$D$802))</x:f>
        <x:v>1.4612209806741066</x:v>
      </x:c>
    </x:row>
    <x:row r="411">
      <x:c r="A411" s="101" t="str">
        <x:v>三重県</x:v>
      </x:c>
      <x:c r="B411" s="101" t="str">
        <x:v>R</x:v>
      </x:c>
      <x:c r="C411" s="101" t="str">
        <x:v>サービス業（他に分類されないもの）</x:v>
      </x:c>
      <x:c r="D411" s="102" t="n">
        <x:v>6539</x:v>
      </x:c>
      <x:c r="E411" s="102" t="n">
        <x:f>1+COUNTIFS($C$4:$C$802,C411,$D$4:$D$802,"&gt;"&amp;D411)</x:f>
        <x:v>17</x:v>
      </x:c>
      <x:c r="F411" s="102" t="n">
        <x:v>1770254</x:v>
      </x:c>
      <x:c r="G411" s="126" t="n">
        <x:f>D411/F411*100000</x:f>
        <x:v>369.3820208851385</x:v>
      </x:c>
      <x:c r="H411" s="127" t="n">
        <x:f>1+COUNTIFS($C$4:$C$802,C411,$G$4:$G$802,"&gt;"&amp;G411)</x:f>
        <x:v>14</x:v>
      </x:c>
      <x:c r="I411" s="128" t="n">
        <x:f>D411/SUMIF($C$4:$C$802,C411,$D$4:$D$802)</x:f>
        <x:v>0.017710691960174642</x:v>
      </x:c>
      <x:c r="J411" s="103" t="n">
        <x:f>(D411/SUMIF($A$4:$A$802,A411,$D$4:$D$802))/(SUMIF($C$4:$C$802,C411,$D$4:$D$802)/SUM($D$4:$D$802))</x:f>
        <x:v>1.2637168530777867</x:v>
      </x:c>
    </x:row>
    <x:row r="412">
      <x:c r="A412" s="101" t="str">
        <x:v>滋賀県</x:v>
      </x:c>
      <x:c r="B412" s="101" t="str">
        <x:v>AB</x:v>
      </x:c>
      <x:c r="C412" s="101" t="str">
        <x:v>農林漁業</x:v>
      </x:c>
      <x:c r="D412" s="102" t="n">
        <x:v>746</x:v>
      </x:c>
      <x:c r="E412" s="102" t="n">
        <x:f>1+COUNTIFS($C$4:$C$802,C412,$D$4:$D$802,"&gt;"&amp;D412)</x:f>
        <x:v>27</x:v>
      </x:c>
      <x:c r="F412" s="102" t="n">
        <x:v>1413610</x:v>
      </x:c>
      <x:c r="G412" s="126" t="n">
        <x:f>D412/F412*100000</x:f>
        <x:v>52.77268836524926</x:v>
      </x:c>
      <x:c r="H412" s="127" t="n">
        <x:f>1+COUNTIFS($C$4:$C$802,C412,$G$4:$G$802,"&gt;"&amp;G412)</x:f>
        <x:v>22</x:v>
      </x:c>
      <x:c r="I412" s="128" t="n">
        <x:f>D412/SUMIF($C$4:$C$802,C412,$D$4:$D$802)</x:f>
        <x:v>0.01757030477177446</x:v>
      </x:c>
      <x:c r="J412" s="103" t="n">
        <x:f>(D412/SUMIF($A$4:$A$802,A412,$D$4:$D$802))/(SUMIF($C$4:$C$802,C412,$D$4:$D$802)/SUM($D$4:$D$802))</x:f>
        <x:v>1.6855250117673168</x:v>
      </x:c>
    </x:row>
    <x:row r="413">
      <x:c r="A413" s="101" t="str">
        <x:v>滋賀県</x:v>
      </x:c>
      <x:c r="B413" s="101" t="str">
        <x:v>C</x:v>
      </x:c>
      <x:c r="C413" s="101" t="str">
        <x:v>鉱業，採石業，砂利採取業</x:v>
      </x:c>
      <x:c r="D413" s="102" t="n">
        <x:v>18</x:v>
      </x:c>
      <x:c r="E413" s="102" t="n">
        <x:f>1+COUNTIFS($C$4:$C$802,C413,$D$4:$D$802,"&gt;"&amp;D413)</x:f>
        <x:v>39</x:v>
      </x:c>
      <x:c r="F413" s="102" t="n">
        <x:v>1413610</x:v>
      </x:c>
      <x:c r="G413" s="126" t="n">
        <x:f>D413/F413*100000</x:f>
        <x:v>1.2733356442017247</x:v>
      </x:c>
      <x:c r="H413" s="127" t="n">
        <x:f>1+COUNTIFS($C$4:$C$802,C413,$G$4:$G$802,"&gt;"&amp;G413)</x:f>
        <x:v>33</x:v>
      </x:c>
      <x:c r="I413" s="128" t="n">
        <x:f>D413/SUMIF($C$4:$C$802,C413,$D$4:$D$802)</x:f>
        <x:v>0.0096514745308311</x:v>
      </x:c>
      <x:c r="J413" s="103" t="n">
        <x:f>(D413/SUMIF($A$4:$A$802,A413,$D$4:$D$802))/(SUMIF($C$4:$C$802,C413,$D$4:$D$802)/SUM($D$4:$D$802))</x:f>
        <x:v>0.9258690690604411</x:v>
      </x:c>
    </x:row>
    <x:row r="414">
      <x:c r="A414" s="101" t="str">
        <x:v>滋賀県</x:v>
      </x:c>
      <x:c r="B414" s="101" t="str">
        <x:v>D</x:v>
      </x:c>
      <x:c r="C414" s="101" t="str">
        <x:v>建設業</x:v>
      </x:c>
      <x:c r="D414" s="102" t="n">
        <x:v>5472</x:v>
      </x:c>
      <x:c r="E414" s="102" t="n">
        <x:f>1+COUNTIFS($C$4:$C$802,C414,$D$4:$D$802,"&gt;"&amp;D414)</x:f>
        <x:v>31</x:v>
      </x:c>
      <x:c r="F414" s="102" t="n">
        <x:v>1413610</x:v>
      </x:c>
      <x:c r="G414" s="126" t="n">
        <x:f>D414/F414*100000</x:f>
        <x:v>387.09403583732427</x:v>
      </x:c>
      <x:c r="H414" s="127" t="n">
        <x:f>1+COUNTIFS($C$4:$C$802,C414,$G$4:$G$802,"&gt;"&amp;G414)</x:f>
        <x:v>36</x:v>
      </x:c>
      <x:c r="I414" s="128" t="n">
        <x:f>D414/SUMIF($C$4:$C$802,C414,$D$4:$D$802)</x:f>
        <x:v>0.011279334618199058</x:v>
      </x:c>
      <x:c r="J414" s="103" t="n">
        <x:f>(D414/SUMIF($A$4:$A$802,A414,$D$4:$D$802))/(SUMIF($C$4:$C$802,C414,$D$4:$D$802)/SUM($D$4:$D$802))</x:f>
        <x:v>1.0820302130221644</x:v>
      </x:c>
    </x:row>
    <x:row r="415">
      <x:c r="A415" s="101" t="str">
        <x:v>滋賀県</x:v>
      </x:c>
      <x:c r="B415" s="101" t="str">
        <x:v>E</x:v>
      </x:c>
      <x:c r="C415" s="101" t="str">
        <x:v>製造業</x:v>
      </x:c>
      <x:c r="D415" s="102" t="n">
        <x:v>5143</x:v>
      </x:c>
      <x:c r="E415" s="102" t="n">
        <x:f>1+COUNTIFS($C$4:$C$802,C415,$D$4:$D$802,"&gt;"&amp;D415)</x:f>
        <x:v>23</x:v>
      </x:c>
      <x:c r="F415" s="102" t="n">
        <x:v>1413610</x:v>
      </x:c>
      <x:c r="G415" s="126" t="n">
        <x:f>D415/F415*100000</x:f>
        <x:v>363.82028989608165</x:v>
      </x:c>
      <x:c r="H415" s="127" t="n">
        <x:f>1+COUNTIFS($C$4:$C$802,C415,$G$4:$G$802,"&gt;"&amp;G415)</x:f>
        <x:v>18</x:v>
      </x:c>
      <x:c r="I415" s="128" t="n">
        <x:f>D415/SUMIF($C$4:$C$802,C415,$D$4:$D$802)</x:f>
        <x:v>0.012464343446828416</x:v>
      </x:c>
      <x:c r="J415" s="103" t="n">
        <x:f>(D415/SUMIF($A$4:$A$802,A415,$D$4:$D$802))/(SUMIF($C$4:$C$802,C415,$D$4:$D$802)/SUM($D$4:$D$802))</x:f>
        <x:v>1.1957084926971135</x:v>
      </x:c>
    </x:row>
    <x:row r="416">
      <x:c r="A416" s="101" t="str">
        <x:v>滋賀県</x:v>
      </x:c>
      <x:c r="B416" s="101" t="str">
        <x:v>F</x:v>
      </x:c>
      <x:c r="C416" s="101" t="str">
        <x:v>電気・ガス・熱供給・水道業</x:v>
      </x:c>
      <x:c r="D416" s="102" t="n">
        <x:v>81</x:v>
      </x:c>
      <x:c r="E416" s="102" t="n">
        <x:f>1+COUNTIFS($C$4:$C$802,C416,$D$4:$D$802,"&gt;"&amp;D416)</x:f>
        <x:v>39</x:v>
      </x:c>
      <x:c r="F416" s="102" t="n">
        <x:v>1413610</x:v>
      </x:c>
      <x:c r="G416" s="126" t="n">
        <x:f>D416/F416*100000</x:f>
        <x:v>5.73001039890776</x:v>
      </x:c>
      <x:c r="H416" s="127" t="n">
        <x:f>1+COUNTIFS($C$4:$C$802,C416,$G$4:$G$802,"&gt;"&amp;G416)</x:f>
        <x:v>38</x:v>
      </x:c>
      <x:c r="I416" s="128" t="n">
        <x:f>D416/SUMIF($C$4:$C$802,C416,$D$4:$D$802)</x:f>
        <x:v>0.00886311412627202</x:v>
      </x:c>
      <x:c r="J416" s="103" t="n">
        <x:f>(D416/SUMIF($A$4:$A$802,A416,$D$4:$D$802))/(SUMIF($C$4:$C$802,C416,$D$4:$D$802)/SUM($D$4:$D$802))</x:f>
        <x:v>0.8502414008195375</x:v>
      </x:c>
    </x:row>
    <x:row r="417">
      <x:c r="A417" s="101" t="str">
        <x:v>滋賀県</x:v>
      </x:c>
      <x:c r="B417" s="101" t="str">
        <x:v>G</x:v>
      </x:c>
      <x:c r="C417" s="101" t="str">
        <x:v>情報通信業</x:v>
      </x:c>
      <x:c r="D417" s="102" t="n">
        <x:v>384</x:v>
      </x:c>
      <x:c r="E417" s="102" t="n">
        <x:f>1+COUNTIFS($C$4:$C$802,C417,$D$4:$D$802,"&gt;"&amp;D417)</x:f>
        <x:v>35</x:v>
      </x:c>
      <x:c r="F417" s="102" t="n">
        <x:v>1413610</x:v>
      </x:c>
      <x:c r="G417" s="126" t="n">
        <x:f>D417/F417*100000</x:f>
        <x:v>27.164493742970127</x:v>
      </x:c>
      <x:c r="H417" s="127" t="n">
        <x:f>1+COUNTIFS($C$4:$C$802,C417,$G$4:$G$802,"&gt;"&amp;G417)</x:f>
        <x:v>44</x:v>
      </x:c>
      <x:c r="I417" s="128" t="n">
        <x:f>D417/SUMIF($C$4:$C$802,C417,$D$4:$D$802)</x:f>
        <x:v>0.005015739495029977</x:v>
      </x:c>
      <x:c r="J417" s="103" t="n">
        <x:f>(D417/SUMIF($A$4:$A$802,A417,$D$4:$D$802))/(SUMIF($C$4:$C$802,C417,$D$4:$D$802)/SUM($D$4:$D$802))</x:f>
        <x:v>0.4811615097857176</x:v>
      </x:c>
    </x:row>
    <x:row r="418">
      <x:c r="A418" s="101" t="str">
        <x:v>滋賀県</x:v>
      </x:c>
      <x:c r="B418" s="101" t="str">
        <x:v>H</x:v>
      </x:c>
      <x:c r="C418" s="101" t="str">
        <x:v>運輸業，郵便業</x:v>
      </x:c>
      <x:c r="D418" s="102" t="n">
        <x:v>1381</x:v>
      </x:c>
      <x:c r="E418" s="102" t="n">
        <x:f>1+COUNTIFS($C$4:$C$802,C418,$D$4:$D$802,"&gt;"&amp;D418)</x:f>
        <x:v>28</x:v>
      </x:c>
      <x:c r="F418" s="102" t="n">
        <x:v>1413610</x:v>
      </x:c>
      <x:c r="G418" s="126" t="n">
        <x:f>D418/F418*100000</x:f>
        <x:v>97.6931402579212</x:v>
      </x:c>
      <x:c r="H418" s="127" t="n">
        <x:f>1+COUNTIFS($C$4:$C$802,C418,$G$4:$G$802,"&gt;"&amp;G418)</x:f>
        <x:v>31</x:v>
      </x:c>
      <x:c r="I418" s="128" t="n">
        <x:f>D418/SUMIF($C$4:$C$802,C418,$D$4:$D$802)</x:f>
        <x:v>0.010770214624407286</x:v>
      </x:c>
      <x:c r="J418" s="103" t="n">
        <x:f>(D418/SUMIF($A$4:$A$802,A418,$D$4:$D$802))/(SUMIF($C$4:$C$802,C418,$D$4:$D$802)/SUM($D$4:$D$802))</x:f>
        <x:v>1.0331901675776831</x:v>
      </x:c>
    </x:row>
    <x:row r="419">
      <x:c r="A419" s="101" t="str">
        <x:v>滋賀県</x:v>
      </x:c>
      <x:c r="B419" s="101" t="str">
        <x:v>I</x:v>
      </x:c>
      <x:c r="C419" s="101" t="str">
        <x:v>卸売業，小売業</x:v>
      </x:c>
      <x:c r="D419" s="102" t="n">
        <x:v>12061</x:v>
      </x:c>
      <x:c r="E419" s="102" t="n">
        <x:f>1+COUNTIFS($C$4:$C$802,C419,$D$4:$D$802,"&gt;"&amp;D419)</x:f>
        <x:v>36</x:v>
      </x:c>
      <x:c r="F419" s="102" t="n">
        <x:v>1413610</x:v>
      </x:c>
      <x:c r="G419" s="126" t="n">
        <x:f>D419/F419*100000</x:f>
        <x:v>853.2056224842778</x:v>
      </x:c>
      <x:c r="H419" s="127" t="n">
        <x:f>1+COUNTIFS($C$4:$C$802,C419,$G$4:$G$802,"&gt;"&amp;G419)</x:f>
        <x:v>43</x:v>
      </x:c>
      <x:c r="I419" s="128" t="n">
        <x:f>D419/SUMIF($C$4:$C$802,C419,$D$4:$D$802)</x:f>
        <x:v>0.009814308498519025</x:v>
      </x:c>
      <x:c r="J419" s="103" t="n">
        <x:f>(D419/SUMIF($A$4:$A$802,A419,$D$4:$D$802))/(SUMIF($C$4:$C$802,C419,$D$4:$D$802)/SUM($D$4:$D$802))</x:f>
        <x:v>0.9414897841742854</x:v>
      </x:c>
    </x:row>
    <x:row r="420">
      <x:c r="A420" s="101" t="str">
        <x:v>滋賀県</x:v>
      </x:c>
      <x:c r="B420" s="101" t="str">
        <x:v>J</x:v>
      </x:c>
      <x:c r="C420" s="101" t="str">
        <x:v>金融業，保険業</x:v>
      </x:c>
      <x:c r="D420" s="102" t="n">
        <x:v>787</x:v>
      </x:c>
      <x:c r="E420" s="102" t="n">
        <x:f>1+COUNTIFS($C$4:$C$802,C420,$D$4:$D$802,"&gt;"&amp;D420)</x:f>
        <x:v>37</x:v>
      </x:c>
      <x:c r="F420" s="102" t="n">
        <x:v>1413610</x:v>
      </x:c>
      <x:c r="G420" s="126" t="n">
        <x:f>D420/F420*100000</x:f>
        <x:v>55.67306399926429</x:v>
      </x:c>
      <x:c r="H420" s="127" t="n">
        <x:f>1+COUNTIFS($C$4:$C$802,C420,$G$4:$G$802,"&gt;"&amp;G420)</x:f>
        <x:v>42</x:v>
      </x:c>
      <x:c r="I420" s="128" t="n">
        <x:f>D420/SUMIF($C$4:$C$802,C420,$D$4:$D$802)</x:f>
        <x:v>0.009385584124409674</x:v>
      </x:c>
      <x:c r="J420" s="103" t="n">
        <x:f>(D420/SUMIF($A$4:$A$802,A420,$D$4:$D$802))/(SUMIF($C$4:$C$802,C420,$D$4:$D$802)/SUM($D$4:$D$802))</x:f>
        <x:v>0.9003621164928206</x:v>
      </x:c>
    </x:row>
    <x:row r="421">
      <x:c r="A421" s="101" t="str">
        <x:v>滋賀県</x:v>
      </x:c>
      <x:c r="B421" s="101" t="str">
        <x:v>K</x:v>
      </x:c>
      <x:c r="C421" s="101" t="str">
        <x:v>不動産業，物品賃貸業</x:v>
      </x:c>
      <x:c r="D421" s="102" t="n">
        <x:v>3157</x:v>
      </x:c>
      <x:c r="E421" s="102" t="n">
        <x:f>1+COUNTIFS($C$4:$C$802,C421,$D$4:$D$802,"&gt;"&amp;D421)</x:f>
        <x:v>30</x:v>
      </x:c>
      <x:c r="F421" s="102" t="n">
        <x:v>1413610</x:v>
      </x:c>
      <x:c r="G421" s="126" t="n">
        <x:f>D421/F421*100000</x:f>
        <x:v>223.32892381915804</x:v>
      </x:c>
      <x:c r="H421" s="127" t="n">
        <x:f>1+COUNTIFS($C$4:$C$802,C421,$G$4:$G$802,"&gt;"&amp;G421)</x:f>
        <x:v>36</x:v>
      </x:c>
      <x:c r="I421" s="128" t="n">
        <x:f>D421/SUMIF($C$4:$C$802,C421,$D$4:$D$802)</x:f>
        <x:v>0.008430897088042387</x:v>
      </x:c>
      <x:c r="J421" s="103" t="n">
        <x:f>(D421/SUMIF($A$4:$A$802,A421,$D$4:$D$802))/(SUMIF($C$4:$C$802,C421,$D$4:$D$802)/SUM($D$4:$D$802))</x:f>
        <x:v>0.8087786807409223</x:v>
      </x:c>
    </x:row>
    <x:row r="422">
      <x:c r="A422" s="101" t="str">
        <x:v>滋賀県</x:v>
      </x:c>
      <x:c r="B422" s="101" t="str">
        <x:v>L</x:v>
      </x:c>
      <x:c r="C422" s="101" t="str">
        <x:v>学術研究，専門・技術サービス業</x:v>
      </x:c>
      <x:c r="D422" s="102" t="n">
        <x:v>2266</x:v>
      </x:c>
      <x:c r="E422" s="102" t="n">
        <x:f>1+COUNTIFS($C$4:$C$802,C422,$D$4:$D$802,"&gt;"&amp;D422)</x:f>
        <x:v>28</x:v>
      </x:c>
      <x:c r="F422" s="102" t="n">
        <x:v>1413610</x:v>
      </x:c>
      <x:c r="G422" s="126" t="n">
        <x:f>D422/F422*100000</x:f>
        <x:v>160.29880943117266</x:v>
      </x:c>
      <x:c r="H422" s="127" t="n">
        <x:f>1+COUNTIFS($C$4:$C$802,C422,$G$4:$G$802,"&gt;"&amp;G422)</x:f>
        <x:v>40</x:v>
      </x:c>
      <x:c r="I422" s="128" t="n">
        <x:f>D422/SUMIF($C$4:$C$802,C422,$D$4:$D$802)</x:f>
        <x:v>0.008979947689625109</x:v>
      </x:c>
      <x:c r="J422" s="103" t="n">
        <x:f>(D422/SUMIF($A$4:$A$802,A422,$D$4:$D$802))/(SUMIF($C$4:$C$802,C422,$D$4:$D$802)/SUM($D$4:$D$802))</x:f>
        <x:v>0.8614492822879272</x:v>
      </x:c>
    </x:row>
    <x:row r="423">
      <x:c r="A423" s="101" t="str">
        <x:v>滋賀県</x:v>
      </x:c>
      <x:c r="B423" s="101" t="str">
        <x:v>M</x:v>
      </x:c>
      <x:c r="C423" s="101" t="str">
        <x:v>宿泊業，飲食サービス業</x:v>
      </x:c>
      <x:c r="D423" s="102" t="n">
        <x:v>5291</x:v>
      </x:c>
      <x:c r="E423" s="102" t="n">
        <x:f>1+COUNTIFS($C$4:$C$802,C423,$D$4:$D$802,"&gt;"&amp;D423)</x:f>
        <x:v>36</x:v>
      </x:c>
      <x:c r="F423" s="102" t="n">
        <x:v>1413610</x:v>
      </x:c>
      <x:c r="G423" s="126" t="n">
        <x:f>D423/F423*100000</x:f>
        <x:v>374.2899385261847</x:v>
      </x:c>
      <x:c r="H423" s="127" t="n">
        <x:f>1+COUNTIFS($C$4:$C$802,C423,$G$4:$G$802,"&gt;"&amp;G423)</x:f>
        <x:v>43</x:v>
      </x:c>
      <x:c r="I423" s="128" t="n">
        <x:f>D423/SUMIF($C$4:$C$802,C423,$D$4:$D$802)</x:f>
        <x:v>0.008832199887156169</x:v>
      </x:c>
      <x:c r="J423" s="103" t="n">
        <x:f>(D423/SUMIF($A$4:$A$802,A423,$D$4:$D$802))/(SUMIF($C$4:$C$802,C423,$D$4:$D$802)/SUM($D$4:$D$802))</x:f>
        <x:v>0.8472757878762018</x:v>
      </x:c>
    </x:row>
    <x:row r="424">
      <x:c r="A424" s="101" t="str">
        <x:v>滋賀県</x:v>
      </x:c>
      <x:c r="B424" s="101" t="str">
        <x:v>N</x:v>
      </x:c>
      <x:c r="C424" s="101" t="str">
        <x:v>生活関連サービス業，娯楽業</x:v>
      </x:c>
      <x:c r="D424" s="102" t="n">
        <x:v>4357</x:v>
      </x:c>
      <x:c r="E424" s="102" t="n">
        <x:f>1+COUNTIFS($C$4:$C$802,C424,$D$4:$D$802,"&gt;"&amp;D424)</x:f>
        <x:v>37</x:v>
      </x:c>
      <x:c r="F424" s="102" t="n">
        <x:v>1413610</x:v>
      </x:c>
      <x:c r="G424" s="126" t="n">
        <x:f>D424/F424*100000</x:f>
        <x:v>308.2179667659397</x:v>
      </x:c>
      <x:c r="H424" s="127" t="n">
        <x:f>1+COUNTIFS($C$4:$C$802,C424,$G$4:$G$802,"&gt;"&amp;G424)</x:f>
        <x:v>41</x:v>
      </x:c>
      <x:c r="I424" s="128" t="n">
        <x:f>D424/SUMIF($C$4:$C$802,C424,$D$4:$D$802)</x:f>
        <x:v>0.010034338302522518</x:v>
      </x:c>
      <x:c r="J424" s="103" t="n">
        <x:f>(D424/SUMIF($A$4:$A$802,A424,$D$4:$D$802))/(SUMIF($C$4:$C$802,C424,$D$4:$D$802)/SUM($D$4:$D$802))</x:f>
        <x:v>0.9625973143394947</x:v>
      </x:c>
    </x:row>
    <x:row r="425">
      <x:c r="A425" s="101" t="str">
        <x:v>滋賀県</x:v>
      </x:c>
      <x:c r="B425" s="101" t="str">
        <x:v>O</x:v>
      </x:c>
      <x:c r="C425" s="101" t="str">
        <x:v>教育，学習支援業</x:v>
      </x:c>
      <x:c r="D425" s="102" t="n">
        <x:v>1935</x:v>
      </x:c>
      <x:c r="E425" s="102" t="n">
        <x:f>1+COUNTIFS($C$4:$C$802,C425,$D$4:$D$802,"&gt;"&amp;D425)</x:f>
        <x:v>26</x:v>
      </x:c>
      <x:c r="F425" s="102" t="n">
        <x:v>1413610</x:v>
      </x:c>
      <x:c r="G425" s="126" t="n">
        <x:f>D425/F425*100000</x:f>
        <x:v>136.8835817516854</x:v>
      </x:c>
      <x:c r="H425" s="127" t="n">
        <x:f>1+COUNTIFS($C$4:$C$802,C425,$G$4:$G$802,"&gt;"&amp;G425)</x:f>
        <x:v>17</x:v>
      </x:c>
      <x:c r="I425" s="128" t="n">
        <x:f>D425/SUMIF($C$4:$C$802,C425,$D$4:$D$802)</x:f>
        <x:v>0.011845222426954462</x:v>
      </x:c>
      <x:c r="J425" s="103" t="n">
        <x:f>(D425/SUMIF($A$4:$A$802,A425,$D$4:$D$802))/(SUMIF($C$4:$C$802,C425,$D$4:$D$802)/SUM($D$4:$D$802))</x:f>
        <x:v>1.1363160132914731</x:v>
      </x:c>
    </x:row>
    <x:row r="426">
      <x:c r="A426" s="101" t="str">
        <x:v>滋賀県</x:v>
      </x:c>
      <x:c r="B426" s="101" t="str">
        <x:v>P</x:v>
      </x:c>
      <x:c r="C426" s="101" t="str">
        <x:v>医療，福祉</x:v>
      </x:c>
      <x:c r="D426" s="102" t="n">
        <x:v>4733</x:v>
      </x:c>
      <x:c r="E426" s="102" t="n">
        <x:f>1+COUNTIFS($C$4:$C$802,C426,$D$4:$D$802,"&gt;"&amp;D426)</x:f>
        <x:v>33</x:v>
      </x:c>
      <x:c r="F426" s="102" t="n">
        <x:v>1413610</x:v>
      </x:c>
      <x:c r="G426" s="126" t="n">
        <x:f>D426/F426*100000</x:f>
        <x:v>334.81653355593124</x:v>
      </x:c>
      <x:c r="H426" s="127" t="n">
        <x:f>1+COUNTIFS($C$4:$C$802,C426,$G$4:$G$802,"&gt;"&amp;G426)</x:f>
        <x:v>42</x:v>
      </x:c>
      <x:c r="I426" s="128" t="n">
        <x:f>D426/SUMIF($C$4:$C$802,C426,$D$4:$D$802)</x:f>
        <x:v>0.010232827637498892</x:v>
      </x:c>
      <x:c r="J426" s="103" t="n">
        <x:f>(D426/SUMIF($A$4:$A$802,A426,$D$4:$D$802))/(SUMIF($C$4:$C$802,C426,$D$4:$D$802)/SUM($D$4:$D$802))</x:f>
        <x:v>0.9816384603536028</x:v>
      </x:c>
    </x:row>
    <x:row r="427">
      <x:c r="A427" s="101" t="str">
        <x:v>滋賀県</x:v>
      </x:c>
      <x:c r="B427" s="101" t="str">
        <x:v>Q</x:v>
      </x:c>
      <x:c r="C427" s="101" t="str">
        <x:v>複合サービス事業</x:v>
      </x:c>
      <x:c r="D427" s="102" t="n">
        <x:v>374</x:v>
      </x:c>
      <x:c r="E427" s="102" t="n">
        <x:f>1+COUNTIFS($C$4:$C$802,C427,$D$4:$D$802,"&gt;"&amp;D427)</x:f>
        <x:v>40</x:v>
      </x:c>
      <x:c r="F427" s="102" t="n">
        <x:v>1413610</x:v>
      </x:c>
      <x:c r="G427" s="126" t="n">
        <x:f>D427/F427*100000</x:f>
        <x:v>26.457085051746944</x:v>
      </x:c>
      <x:c r="H427" s="127" t="n">
        <x:f>1+COUNTIFS($C$4:$C$802,C427,$G$4:$G$802,"&gt;"&amp;G427)</x:f>
        <x:v>31</x:v>
      </x:c>
      <x:c r="I427" s="128" t="n">
        <x:f>D427/SUMIF($C$4:$C$802,C427,$D$4:$D$802)</x:f>
        <x:v>0.011639849366655255</x:v>
      </x:c>
      <x:c r="J427" s="103" t="n">
        <x:f>(D427/SUMIF($A$4:$A$802,A427,$D$4:$D$802))/(SUMIF($C$4:$C$802,C427,$D$4:$D$802)/SUM($D$4:$D$802))</x:f>
        <x:v>1.1166145092837798</x:v>
      </x:c>
    </x:row>
    <x:row r="428">
      <x:c r="A428" s="101" t="str">
        <x:v>滋賀県</x:v>
      </x:c>
      <x:c r="B428" s="101" t="str">
        <x:v>R</x:v>
      </x:c>
      <x:c r="C428" s="101" t="str">
        <x:v>サービス業（他に分類されないもの）</x:v>
      </x:c>
      <x:c r="D428" s="102" t="n">
        <x:v>5562</x:v>
      </x:c>
      <x:c r="E428" s="102" t="n">
        <x:f>1+COUNTIFS($C$4:$C$802,C428,$D$4:$D$802,"&gt;"&amp;D428)</x:f>
        <x:v>23</x:v>
      </x:c>
      <x:c r="F428" s="102" t="n">
        <x:v>1413610</x:v>
      </x:c>
      <x:c r="G428" s="126" t="n">
        <x:f>D428/F428*100000</x:f>
        <x:v>393.46071405833294</x:v>
      </x:c>
      <x:c r="H428" s="127" t="n">
        <x:f>1+COUNTIFS($C$4:$C$802,C428,$G$4:$G$802,"&gt;"&amp;G428)</x:f>
        <x:v>6</x:v>
      </x:c>
      <x:c r="I428" s="128" t="n">
        <x:f>D428/SUMIF($C$4:$C$802,C428,$D$4:$D$802)</x:f>
        <x:v>0.015064515779552127</x:v>
      </x:c>
      <x:c r="J428" s="103" t="n">
        <x:f>(D428/SUMIF($A$4:$A$802,A428,$D$4:$D$802))/(SUMIF($C$4:$C$802,C428,$D$4:$D$802)/SUM($D$4:$D$802))</x:f>
        <x:v>1.4451438644017431</x:v>
      </x:c>
    </x:row>
    <x:row r="429">
      <x:c r="A429" s="101" t="str">
        <x:v>京都府</x:v>
      </x:c>
      <x:c r="B429" s="101" t="str">
        <x:v>AB</x:v>
      </x:c>
      <x:c r="C429" s="101" t="str">
        <x:v>農林漁業</x:v>
      </x:c>
      <x:c r="D429" s="102" t="n">
        <x:v>500</x:v>
      </x:c>
      <x:c r="E429" s="102" t="n">
        <x:f>1+COUNTIFS($C$4:$C$802,C429,$D$4:$D$802,"&gt;"&amp;D429)</x:f>
        <x:v>39</x:v>
      </x:c>
      <x:c r="F429" s="102" t="n">
        <x:v>2578087</x:v>
      </x:c>
      <x:c r="G429" s="126" t="n">
        <x:f>D429/F429*100000</x:f>
        <x:v>19.39422525306555</x:v>
      </x:c>
      <x:c r="H429" s="127" t="n">
        <x:f>1+COUNTIFS($C$4:$C$802,C429,$G$4:$G$802,"&gt;"&amp;G429)</x:f>
        <x:v>40</x:v>
      </x:c>
      <x:c r="I429" s="128" t="n">
        <x:f>D429/SUMIF($C$4:$C$802,C429,$D$4:$D$802)</x:f>
        <x:v>0.011776343680813981</x:v>
      </x:c>
      <x:c r="J429" s="103" t="n">
        <x:f>(D429/SUMIF($A$4:$A$802,A429,$D$4:$D$802))/(SUMIF($C$4:$C$802,C429,$D$4:$D$802)/SUM($D$4:$D$802))</x:f>
        <x:v>0.5491802931146555</x:v>
      </x:c>
    </x:row>
    <x:row r="430">
      <x:c r="A430" s="101" t="str">
        <x:v>京都府</x:v>
      </x:c>
      <x:c r="B430" s="101" t="str">
        <x:v>C</x:v>
      </x:c>
      <x:c r="C430" s="101" t="str">
        <x:v>鉱業，採石業，砂利採取業</x:v>
      </x:c>
      <x:c r="D430" s="102" t="n">
        <x:v>23</x:v>
      </x:c>
      <x:c r="E430" s="102" t="n">
        <x:f>1+COUNTIFS($C$4:$C$802,C430,$D$4:$D$802,"&gt;"&amp;D430)</x:f>
        <x:v>35</x:v>
      </x:c>
      <x:c r="F430" s="102" t="n">
        <x:v>2578087</x:v>
      </x:c>
      <x:c r="G430" s="126" t="n">
        <x:f>D430/F430*100000</x:f>
        <x:v>0.8921343616410151</x:v>
      </x:c>
      <x:c r="H430" s="127" t="n">
        <x:f>1+COUNTIFS($C$4:$C$802,C430,$G$4:$G$802,"&gt;"&amp;G430)</x:f>
        <x:v>38</x:v>
      </x:c>
      <x:c r="I430" s="128" t="n">
        <x:f>D430/SUMIF($C$4:$C$802,C430,$D$4:$D$802)</x:f>
        <x:v>0.012332439678284183</x:v>
      </x:c>
      <x:c r="J430" s="103" t="n">
        <x:f>(D430/SUMIF($A$4:$A$802,A430,$D$4:$D$802))/(SUMIF($C$4:$C$802,C430,$D$4:$D$802)/SUM($D$4:$D$802))</x:f>
        <x:v>0.5751133816154714</x:v>
      </x:c>
    </x:row>
    <x:row r="431">
      <x:c r="A431" s="101" t="str">
        <x:v>京都府</x:v>
      </x:c>
      <x:c r="B431" s="101" t="str">
        <x:v>D</x:v>
      </x:c>
      <x:c r="C431" s="101" t="str">
        <x:v>建設業</x:v>
      </x:c>
      <x:c r="D431" s="102" t="n">
        <x:v>8588</x:v>
      </x:c>
      <x:c r="E431" s="102" t="n">
        <x:f>1+COUNTIFS($C$4:$C$802,C431,$D$4:$D$802,"&gt;"&amp;D431)</x:f>
        <x:v>20</x:v>
      </x:c>
      <x:c r="F431" s="102" t="n">
        <x:v>2578087</x:v>
      </x:c>
      <x:c r="G431" s="126" t="n">
        <x:f>D431/F431*100000</x:f>
        <x:v>333.11521294665386</x:v>
      </x:c>
      <x:c r="H431" s="127" t="n">
        <x:f>1+COUNTIFS($C$4:$C$802,C431,$G$4:$G$802,"&gt;"&amp;G431)</x:f>
        <x:v>40</x:v>
      </x:c>
      <x:c r="I431" s="128" t="n">
        <x:f>D431/SUMIF($C$4:$C$802,C431,$D$4:$D$802)</x:f>
        <x:v>0.01770228905356241</x:v>
      </x:c>
      <x:c r="J431" s="103" t="n">
        <x:f>(D431/SUMIF($A$4:$A$802,A431,$D$4:$D$802))/(SUMIF($C$4:$C$802,C431,$D$4:$D$802)/SUM($D$4:$D$802))</x:f>
        <x:v>0.8255319778985759</x:v>
      </x:c>
    </x:row>
    <x:row r="432">
      <x:c r="A432" s="101" t="str">
        <x:v>京都府</x:v>
      </x:c>
      <x:c r="B432" s="101" t="str">
        <x:v>E</x:v>
      </x:c>
      <x:c r="C432" s="101" t="str">
        <x:v>製造業</x:v>
      </x:c>
      <x:c r="D432" s="102" t="n">
        <x:v>11992</x:v>
      </x:c>
      <x:c r="E432" s="102" t="n">
        <x:f>1+COUNTIFS($C$4:$C$802,C432,$D$4:$D$802,"&gt;"&amp;D432)</x:f>
        <x:v>9</x:v>
      </x:c>
      <x:c r="F432" s="102" t="n">
        <x:v>2578087</x:v>
      </x:c>
      <x:c r="G432" s="126" t="n">
        <x:f>D432/F432*100000</x:f>
        <x:v>465.15109846952413</x:v>
      </x:c>
      <x:c r="H432" s="127" t="n">
        <x:f>1+COUNTIFS($C$4:$C$802,C432,$G$4:$G$802,"&gt;"&amp;G432)</x:f>
        <x:v>8</x:v>
      </x:c>
      <x:c r="I432" s="128" t="n">
        <x:f>D432/SUMIF($C$4:$C$802,C432,$D$4:$D$802)</x:f>
        <x:v>0.02906327175080038</x:v>
      </x:c>
      <x:c r="J432" s="103" t="n">
        <x:f>(D432/SUMIF($A$4:$A$802,A432,$D$4:$D$802))/(SUMIF($C$4:$C$802,C432,$D$4:$D$802)/SUM($D$4:$D$802))</x:f>
        <x:v>1.3553422464205984</x:v>
      </x:c>
    </x:row>
    <x:row r="433">
      <x:c r="A433" s="101" t="str">
        <x:v>京都府</x:v>
      </x:c>
      <x:c r="B433" s="101" t="str">
        <x:v>F</x:v>
      </x:c>
      <x:c r="C433" s="101" t="str">
        <x:v>電気・ガス・熱供給・水道業</x:v>
      </x:c>
      <x:c r="D433" s="102" t="n">
        <x:v>90</x:v>
      </x:c>
      <x:c r="E433" s="102" t="n">
        <x:f>1+COUNTIFS($C$4:$C$802,C433,$D$4:$D$802,"&gt;"&amp;D433)</x:f>
        <x:v>37</x:v>
      </x:c>
      <x:c r="F433" s="102" t="n">
        <x:v>2578087</x:v>
      </x:c>
      <x:c r="G433" s="126" t="n">
        <x:f>D433/F433*100000</x:f>
        <x:v>3.4909605455517982</x:v>
      </x:c>
      <x:c r="H433" s="127" t="n">
        <x:f>1+COUNTIFS($C$4:$C$802,C433,$G$4:$G$802,"&gt;"&amp;G433)</x:f>
        <x:v>45</x:v>
      </x:c>
      <x:c r="I433" s="128" t="n">
        <x:f>D433/SUMIF($C$4:$C$802,C433,$D$4:$D$802)</x:f>
        <x:v>0.00984790458474669</x:v>
      </x:c>
      <x:c r="J433" s="103" t="n">
        <x:f>(D433/SUMIF($A$4:$A$802,A433,$D$4:$D$802))/(SUMIF($C$4:$C$802,C433,$D$4:$D$802)/SUM($D$4:$D$802))</x:f>
        <x:v>0.4592490906347706</x:v>
      </x:c>
    </x:row>
    <x:row r="434">
      <x:c r="A434" s="101" t="str">
        <x:v>京都府</x:v>
      </x:c>
      <x:c r="B434" s="101" t="str">
        <x:v>G</x:v>
      </x:c>
      <x:c r="C434" s="101" t="str">
        <x:v>情報通信業</x:v>
      </x:c>
      <x:c r="D434" s="102" t="n">
        <x:v>1223</x:v>
      </x:c>
      <x:c r="E434" s="102" t="n">
        <x:f>1+COUNTIFS($C$4:$C$802,C434,$D$4:$D$802,"&gt;"&amp;D434)</x:f>
        <x:v>12</x:v>
      </x:c>
      <x:c r="F434" s="102" t="n">
        <x:v>2578087</x:v>
      </x:c>
      <x:c r="G434" s="126" t="n">
        <x:f>D434/F434*100000</x:f>
        <x:v>47.43827496899833</x:v>
      </x:c>
      <x:c r="H434" s="127" t="n">
        <x:f>1+COUNTIFS($C$4:$C$802,C434,$G$4:$G$802,"&gt;"&amp;G434)</x:f>
        <x:v>10</x:v>
      </x:c>
      <x:c r="I434" s="128" t="n">
        <x:f>D434/SUMIF($C$4:$C$802,C434,$D$4:$D$802)</x:f>
        <x:v>0.01597460781880641</x:v>
      </x:c>
      <x:c r="J434" s="103" t="n">
        <x:f>(D434/SUMIF($A$4:$A$802,A434,$D$4:$D$802))/(SUMIF($C$4:$C$802,C434,$D$4:$D$802)/SUM($D$4:$D$802))</x:f>
        <x:v>0.7449629564239575</x:v>
      </x:c>
    </x:row>
    <x:row r="435">
      <x:c r="A435" s="101" t="str">
        <x:v>京都府</x:v>
      </x:c>
      <x:c r="B435" s="101" t="str">
        <x:v>H</x:v>
      </x:c>
      <x:c r="C435" s="101" t="str">
        <x:v>運輸業，郵便業</x:v>
      </x:c>
      <x:c r="D435" s="102" t="n">
        <x:v>2142</x:v>
      </x:c>
      <x:c r="E435" s="102" t="n">
        <x:f>1+COUNTIFS($C$4:$C$802,C435,$D$4:$D$802,"&gt;"&amp;D435)</x:f>
        <x:v>15</x:v>
      </x:c>
      <x:c r="F435" s="102" t="n">
        <x:v>2578087</x:v>
      </x:c>
      <x:c r="G435" s="126" t="n">
        <x:f>D435/F435*100000</x:f>
        <x:v>83.0848609841328</x:v>
      </x:c>
      <x:c r="H435" s="127" t="n">
        <x:f>1+COUNTIFS($C$4:$C$802,C435,$G$4:$G$802,"&gt;"&amp;G435)</x:f>
        <x:v>45</x:v>
      </x:c>
      <x:c r="I435" s="128" t="n">
        <x:f>D435/SUMIF($C$4:$C$802,C435,$D$4:$D$802)</x:f>
        <x:v>0.01670514100324432</x:v>
      </x:c>
      <x:c r="J435" s="103" t="n">
        <x:f>(D435/SUMIF($A$4:$A$802,A435,$D$4:$D$802))/(SUMIF($C$4:$C$802,C435,$D$4:$D$802)/SUM($D$4:$D$802))</x:f>
        <x:v>0.7790307825025409</x:v>
      </x:c>
    </x:row>
    <x:row r="436">
      <x:c r="A436" s="101" t="str">
        <x:v>京都府</x:v>
      </x:c>
      <x:c r="B436" s="101" t="str">
        <x:v>I</x:v>
      </x:c>
      <x:c r="C436" s="101" t="str">
        <x:v>卸売業，小売業</x:v>
      </x:c>
      <x:c r="D436" s="102" t="n">
        <x:v>26212</x:v>
      </x:c>
      <x:c r="E436" s="102" t="n">
        <x:f>1+COUNTIFS($C$4:$C$802,C436,$D$4:$D$802,"&gt;"&amp;D436)</x:f>
        <x:v>13</x:v>
      </x:c>
      <x:c r="F436" s="102" t="n">
        <x:v>2578087</x:v>
      </x:c>
      <x:c r="G436" s="126" t="n">
        <x:f>D436/F436*100000</x:f>
        <x:v>1016.7228646667083</x:v>
      </x:c>
      <x:c r="H436" s="127" t="n">
        <x:f>1+COUNTIFS($C$4:$C$802,C436,$G$4:$G$802,"&gt;"&amp;G436)</x:f>
        <x:v>34</x:v>
      </x:c>
      <x:c r="I436" s="128" t="n">
        <x:f>D436/SUMIF($C$4:$C$802,C436,$D$4:$D$802)</x:f>
        <x:v>0.021329297269146893</x:v>
      </x:c>
      <x:c r="J436" s="103" t="n">
        <x:f>(D436/SUMIF($A$4:$A$802,A436,$D$4:$D$802))/(SUMIF($C$4:$C$802,C436,$D$4:$D$802)/SUM($D$4:$D$802))</x:f>
        <x:v>0.9946745818299748</x:v>
      </x:c>
    </x:row>
    <x:row r="437">
      <x:c r="A437" s="101" t="str">
        <x:v>京都府</x:v>
      </x:c>
      <x:c r="B437" s="101" t="str">
        <x:v>J</x:v>
      </x:c>
      <x:c r="C437" s="101" t="str">
        <x:v>金融業，保険業</x:v>
      </x:c>
      <x:c r="D437" s="102" t="n">
        <x:v>1541</x:v>
      </x:c>
      <x:c r="E437" s="102" t="n">
        <x:f>1+COUNTIFS($C$4:$C$802,C437,$D$4:$D$802,"&gt;"&amp;D437)</x:f>
        <x:v>14</x:v>
      </x:c>
      <x:c r="F437" s="102" t="n">
        <x:v>2578087</x:v>
      </x:c>
      <x:c r="G437" s="126" t="n">
        <x:f>D437/F437*100000</x:f>
        <x:v>59.77300222994802</x:v>
      </x:c>
      <x:c r="H437" s="127" t="n">
        <x:f>1+COUNTIFS($C$4:$C$802,C437,$G$4:$G$802,"&gt;"&amp;G437)</x:f>
        <x:v>39</x:v>
      </x:c>
      <x:c r="I437" s="128" t="n">
        <x:f>D437/SUMIF($C$4:$C$802,C437,$D$4:$D$802)</x:f>
        <x:v>0.01837761770738921</x:v>
      </x:c>
      <x:c r="J437" s="103" t="n">
        <x:f>(D437/SUMIF($A$4:$A$802,A437,$D$4:$D$802))/(SUMIF($C$4:$C$802,C437,$D$4:$D$802)/SUM($D$4:$D$802))</x:f>
        <x:v>0.8570253851996521</x:v>
      </x:c>
    </x:row>
    <x:row r="438">
      <x:c r="A438" s="101" t="str">
        <x:v>京都府</x:v>
      </x:c>
      <x:c r="B438" s="101" t="str">
        <x:v>K</x:v>
      </x:c>
      <x:c r="C438" s="101" t="str">
        <x:v>不動産業，物品賃貸業</x:v>
      </x:c>
      <x:c r="D438" s="102" t="n">
        <x:v>8694</x:v>
      </x:c>
      <x:c r="E438" s="102" t="n">
        <x:f>1+COUNTIFS($C$4:$C$802,C438,$D$4:$D$802,"&gt;"&amp;D438)</x:f>
        <x:v>12</x:v>
      </x:c>
      <x:c r="F438" s="102" t="n">
        <x:v>2578087</x:v>
      </x:c>
      <x:c r="G438" s="126" t="n">
        <x:f>D438/F438*100000</x:f>
        <x:v>337.22678870030376</x:v>
      </x:c>
      <x:c r="H438" s="127" t="n">
        <x:f>1+COUNTIFS($C$4:$C$802,C438,$G$4:$G$802,"&gt;"&amp;G438)</x:f>
        <x:v>5</x:v>
      </x:c>
      <x:c r="I438" s="128" t="n">
        <x:f>D438/SUMIF($C$4:$C$802,C438,$D$4:$D$802)</x:f>
        <x:v>0.02321768111607238</x:v>
      </x:c>
      <x:c r="J438" s="103" t="n">
        <x:f>(D438/SUMIF($A$4:$A$802,A438,$D$4:$D$802))/(SUMIF($C$4:$C$802,C438,$D$4:$D$802)/SUM($D$4:$D$802))</x:f>
        <x:v>1.0827378400598706</x:v>
      </x:c>
    </x:row>
    <x:row r="439">
      <x:c r="A439" s="101" t="str">
        <x:v>京都府</x:v>
      </x:c>
      <x:c r="B439" s="101" t="str">
        <x:v>L</x:v>
      </x:c>
      <x:c r="C439" s="101" t="str">
        <x:v>学術研究，専門・技術サービス業</x:v>
      </x:c>
      <x:c r="D439" s="102" t="n">
        <x:v>5094</x:v>
      </x:c>
      <x:c r="E439" s="102" t="n">
        <x:f>1+COUNTIFS($C$4:$C$802,C439,$D$4:$D$802,"&gt;"&amp;D439)</x:f>
        <x:v>12</x:v>
      </x:c>
      <x:c r="F439" s="102" t="n">
        <x:v>2578087</x:v>
      </x:c>
      <x:c r="G439" s="126" t="n">
        <x:f>D439/F439*100000</x:f>
        <x:v>197.5883668782318</x:v>
      </x:c>
      <x:c r="H439" s="127" t="n">
        <x:f>1+COUNTIFS($C$4:$C$802,C439,$G$4:$G$802,"&gt;"&amp;G439)</x:f>
        <x:v>11</x:v>
      </x:c>
      <x:c r="I439" s="128" t="n">
        <x:f>D439/SUMIF($C$4:$C$802,C439,$D$4:$D$802)</x:f>
        <x:v>0.020187049219307283</x:v>
      </x:c>
      <x:c r="J439" s="103" t="n">
        <x:f>(D439/SUMIF($A$4:$A$802,A439,$D$4:$D$802))/(SUMIF($C$4:$C$802,C439,$D$4:$D$802)/SUM($D$4:$D$802))</x:f>
        <x:v>0.9414067649402081</x:v>
      </x:c>
    </x:row>
    <x:row r="440">
      <x:c r="A440" s="101" t="str">
        <x:v>京都府</x:v>
      </x:c>
      <x:c r="B440" s="101" t="str">
        <x:v>M</x:v>
      </x:c>
      <x:c r="C440" s="101" t="str">
        <x:v>宿泊業，飲食サービス業</x:v>
      </x:c>
      <x:c r="D440" s="102" t="n">
        <x:v>13840</x:v>
      </x:c>
      <x:c r="E440" s="102" t="n">
        <x:f>1+COUNTIFS($C$4:$C$802,C440,$D$4:$D$802,"&gt;"&amp;D440)</x:f>
        <x:v>11</x:v>
      </x:c>
      <x:c r="F440" s="102" t="n">
        <x:v>2578087</x:v>
      </x:c>
      <x:c r="G440" s="126" t="n">
        <x:f>D440/F440*100000</x:f>
        <x:v>536.8321550048544</x:v>
      </x:c>
      <x:c r="H440" s="127" t="n">
        <x:f>1+COUNTIFS($C$4:$C$802,C440,$G$4:$G$802,"&gt;"&amp;G440)</x:f>
        <x:v>16</x:v>
      </x:c>
      <x:c r="I440" s="128" t="n">
        <x:f>D440/SUMIF($C$4:$C$802,C440,$D$4:$D$802)</x:f>
        <x:v>0.023102938279765898</x:v>
      </x:c>
      <x:c r="J440" s="103" t="n">
        <x:f>(D440/SUMIF($A$4:$A$802,A440,$D$4:$D$802))/(SUMIF($C$4:$C$802,C440,$D$4:$D$802)/SUM($D$4:$D$802))</x:f>
        <x:v>1.0773869003978203</x:v>
      </x:c>
    </x:row>
    <x:row r="441">
      <x:c r="A441" s="101" t="str">
        <x:v>京都府</x:v>
      </x:c>
      <x:c r="B441" s="101" t="str">
        <x:v>N</x:v>
      </x:c>
      <x:c r="C441" s="101" t="str">
        <x:v>生活関連サービス業，娯楽業</x:v>
      </x:c>
      <x:c r="D441" s="102" t="n">
        <x:v>8422</x:v>
      </x:c>
      <x:c r="E441" s="102" t="n">
        <x:f>1+COUNTIFS($C$4:$C$802,C441,$D$4:$D$802,"&gt;"&amp;D441)</x:f>
        <x:v>14</x:v>
      </x:c>
      <x:c r="F441" s="102" t="n">
        <x:v>2578087</x:v>
      </x:c>
      <x:c r="G441" s="126" t="n">
        <x:f>D441/F441*100000</x:f>
        <x:v>326.6763301626361</x:v>
      </x:c>
      <x:c r="H441" s="127" t="n">
        <x:f>1+COUNTIFS($C$4:$C$802,C441,$G$4:$G$802,"&gt;"&amp;G441)</x:f>
        <x:v>38</x:v>
      </x:c>
      <x:c r="I441" s="128" t="n">
        <x:f>D441/SUMIF($C$4:$C$802,C441,$D$4:$D$802)</x:f>
        <x:v>0.019396189392665745</x:v>
      </x:c>
      <x:c r="J441" s="103" t="n">
        <x:f>(D441/SUMIF($A$4:$A$802,A441,$D$4:$D$802))/(SUMIF($C$4:$C$802,C441,$D$4:$D$802)/SUM($D$4:$D$802))</x:f>
        <x:v>0.9045256545395999</x:v>
      </x:c>
    </x:row>
    <x:row r="442">
      <x:c r="A442" s="101" t="str">
        <x:v>京都府</x:v>
      </x:c>
      <x:c r="B442" s="101" t="str">
        <x:v>O</x:v>
      </x:c>
      <x:c r="C442" s="101" t="str">
        <x:v>教育，学習支援業</x:v>
      </x:c>
      <x:c r="D442" s="102" t="n">
        <x:v>3516</x:v>
      </x:c>
      <x:c r="E442" s="102" t="n">
        <x:f>1+COUNTIFS($C$4:$C$802,C442,$D$4:$D$802,"&gt;"&amp;D442)</x:f>
        <x:v>12</x:v>
      </x:c>
      <x:c r="F442" s="102" t="n">
        <x:v>2578087</x:v>
      </x:c>
      <x:c r="G442" s="126" t="n">
        <x:f>D442/F442*100000</x:f>
        <x:v>136.38019197955694</x:v>
      </x:c>
      <x:c r="H442" s="127" t="n">
        <x:f>1+COUNTIFS($C$4:$C$802,C442,$G$4:$G$802,"&gt;"&amp;G442)</x:f>
        <x:v>20</x:v>
      </x:c>
      <x:c r="I442" s="128" t="n">
        <x:f>D442/SUMIF($C$4:$C$802,C442,$D$4:$D$802)</x:f>
        <x:v>0.021523411913783923</x:v>
      </x:c>
      <x:c r="J442" s="103" t="n">
        <x:f>(D442/SUMIF($A$4:$A$802,A442,$D$4:$D$802))/(SUMIF($C$4:$C$802,C442,$D$4:$D$802)/SUM($D$4:$D$802))</x:f>
        <x:v>1.0037269617815967</x:v>
      </x:c>
    </x:row>
    <x:row r="443">
      <x:c r="A443" s="101" t="str">
        <x:v>京都府</x:v>
      </x:c>
      <x:c r="B443" s="101" t="str">
        <x:v>P</x:v>
      </x:c>
      <x:c r="C443" s="101" t="str">
        <x:v>医療，福祉</x:v>
      </x:c>
      <x:c r="D443" s="102" t="n">
        <x:v>9299</x:v>
      </x:c>
      <x:c r="E443" s="102" t="n">
        <x:f>1+COUNTIFS($C$4:$C$802,C443,$D$4:$D$802,"&gt;"&amp;D443)</x:f>
        <x:v>12</x:v>
      </x:c>
      <x:c r="F443" s="102" t="n">
        <x:v>2578087</x:v>
      </x:c>
      <x:c r="G443" s="126" t="n">
        <x:f>D443/F443*100000</x:f>
        <x:v>360.6938012565131</x:v>
      </x:c>
      <x:c r="H443" s="127" t="n">
        <x:f>1+COUNTIFS($C$4:$C$802,C443,$G$4:$G$802,"&gt;"&amp;G443)</x:f>
        <x:v>31</x:v>
      </x:c>
      <x:c r="I443" s="128" t="n">
        <x:f>D443/SUMIF($C$4:$C$802,C443,$D$4:$D$802)</x:f>
        <x:v>0.02010459839448599</x:v>
      </x:c>
      <x:c r="J443" s="103" t="n">
        <x:f>(D443/SUMIF($A$4:$A$802,A443,$D$4:$D$802))/(SUMIF($C$4:$C$802,C443,$D$4:$D$802)/SUM($D$4:$D$802))</x:f>
        <x:v>0.9375617371989853</x:v>
      </x:c>
    </x:row>
    <x:row r="444">
      <x:c r="A444" s="101" t="str">
        <x:v>京都府</x:v>
      </x:c>
      <x:c r="B444" s="101" t="str">
        <x:v>Q</x:v>
      </x:c>
      <x:c r="C444" s="101" t="str">
        <x:v>複合サービス事業</x:v>
      </x:c>
      <x:c r="D444" s="102" t="n">
        <x:v>581</x:v>
      </x:c>
      <x:c r="E444" s="102" t="n">
        <x:f>1+COUNTIFS($C$4:$C$802,C444,$D$4:$D$802,"&gt;"&amp;D444)</x:f>
        <x:v>25</x:v>
      </x:c>
      <x:c r="F444" s="102" t="n">
        <x:v>2578087</x:v>
      </x:c>
      <x:c r="G444" s="126" t="n">
        <x:f>D444/F444*100000</x:f>
        <x:v>22.536089744062167</x:v>
      </x:c>
      <x:c r="H444" s="127" t="n">
        <x:f>1+COUNTIFS($C$4:$C$802,C444,$G$4:$G$802,"&gt;"&amp;G444)</x:f>
        <x:v>39</x:v>
      </x:c>
      <x:c r="I444" s="128" t="n">
        <x:f>D444/SUMIF($C$4:$C$802,C444,$D$4:$D$802)</x:f>
        <x:v>0.018082225887771933</x:v>
      </x:c>
      <x:c r="J444" s="103" t="n">
        <x:f>(D444/SUMIF($A$4:$A$802,A444,$D$4:$D$802))/(SUMIF($C$4:$C$802,C444,$D$4:$D$802)/SUM($D$4:$D$802))</x:f>
        <x:v>0.8432500258455106</x:v>
      </x:c>
    </x:row>
    <x:row r="445">
      <x:c r="A445" s="101" t="str">
        <x:v>京都府</x:v>
      </x:c>
      <x:c r="B445" s="101" t="str">
        <x:v>R</x:v>
      </x:c>
      <x:c r="C445" s="101" t="str">
        <x:v>サービス業（他に分類されないもの）</x:v>
      </x:c>
      <x:c r="D445" s="102" t="n">
        <x:v>8807</x:v>
      </x:c>
      <x:c r="E445" s="102" t="n">
        <x:f>1+COUNTIFS($C$4:$C$802,C445,$D$4:$D$802,"&gt;"&amp;D445)</x:f>
        <x:v>12</x:v>
      </x:c>
      <x:c r="F445" s="102" t="n">
        <x:v>2578087</x:v>
      </x:c>
      <x:c r="G445" s="126" t="n">
        <x:f>D445/F445*100000</x:f>
        <x:v>341.60988360749656</x:v>
      </x:c>
      <x:c r="H445" s="127" t="n">
        <x:f>1+COUNTIFS($C$4:$C$802,C445,$G$4:$G$802,"&gt;"&amp;G445)</x:f>
        <x:v>19</x:v>
      </x:c>
      <x:c r="I445" s="128" t="n">
        <x:f>D445/SUMIF($C$4:$C$802,C445,$D$4:$D$802)</x:f>
        <x:v>0.02385350421979784</x:v>
      </x:c>
      <x:c r="J445" s="103" t="n">
        <x:f>(D445/SUMIF($A$4:$A$802,A445,$D$4:$D$802))/(SUMIF($C$4:$C$802,C445,$D$4:$D$802)/SUM($D$4:$D$802))</x:f>
        <x:v>1.1123889378825254</x:v>
      </x:c>
    </x:row>
    <x:row r="446">
      <x:c r="A446" s="101" t="str">
        <x:v>大阪府</x:v>
      </x:c>
      <x:c r="B446" s="101" t="str">
        <x:v>AB</x:v>
      </x:c>
      <x:c r="C446" s="101" t="str">
        <x:v>農林漁業</x:v>
      </x:c>
      <x:c r="D446" s="102" t="n">
        <x:v>366</x:v>
      </x:c>
      <x:c r="E446" s="102" t="n">
        <x:f>1+COUNTIFS($C$4:$C$802,C446,$D$4:$D$802,"&gt;"&amp;D446)</x:f>
        <x:v>45</x:v>
      </x:c>
      <x:c r="F446" s="102" t="n">
        <x:v>8837685</x:v>
      </x:c>
      <x:c r="G446" s="126" t="n">
        <x:f>D446/F446*100000</x:f>
        <x:v>4.14135602253305</x:v>
      </x:c>
      <x:c r="H446" s="127" t="n">
        <x:f>1+COUNTIFS($C$4:$C$802,C446,$G$4:$G$802,"&gt;"&amp;G446)</x:f>
        <x:v>47</x:v>
      </x:c>
      <x:c r="I446" s="128" t="n">
        <x:f>D446/SUMIF($C$4:$C$802,C446,$D$4:$D$802)</x:f>
        <x:v>0.008620283574355833</x:v>
      </x:c>
      <x:c r="J446" s="103" t="n">
        <x:f>(D446/SUMIF($A$4:$A$802,A446,$D$4:$D$802))/(SUMIF($C$4:$C$802,C446,$D$4:$D$802)/SUM($D$4:$D$802))</x:f>
        <x:v>0.11564669397095186</x:v>
      </x:c>
    </x:row>
    <x:row r="447">
      <x:c r="A447" s="101" t="str">
        <x:v>大阪府</x:v>
      </x:c>
      <x:c r="B447" s="101" t="str">
        <x:v>C</x:v>
      </x:c>
      <x:c r="C447" s="101" t="str">
        <x:v>鉱業，採石業，砂利採取業</x:v>
      </x:c>
      <x:c r="D447" s="102" t="n">
        <x:v>17</x:v>
      </x:c>
      <x:c r="E447" s="102" t="n">
        <x:f>1+COUNTIFS($C$4:$C$802,C447,$D$4:$D$802,"&gt;"&amp;D447)</x:f>
        <x:v>40</x:v>
      </x:c>
      <x:c r="F447" s="102" t="n">
        <x:v>8837685</x:v>
      </x:c>
      <x:c r="G447" s="126" t="n">
        <x:f>D447/F447*100000</x:f>
        <x:v>0.19235806662038757</x:v>
      </x:c>
      <x:c r="H447" s="127" t="n">
        <x:f>1+COUNTIFS($C$4:$C$802,C447,$G$4:$G$802,"&gt;"&amp;G447)</x:f>
        <x:v>47</x:v>
      </x:c>
      <x:c r="I447" s="128" t="n">
        <x:f>D447/SUMIF($C$4:$C$802,C447,$D$4:$D$802)</x:f>
        <x:v>0.009115281501340482</x:v>
      </x:c>
      <x:c r="J447" s="103" t="n">
        <x:f>(D447/SUMIF($A$4:$A$802,A447,$D$4:$D$802))/(SUMIF($C$4:$C$802,C447,$D$4:$D$802)/SUM($D$4:$D$802))</x:f>
        <x:v>0.12228741214274667</x:v>
      </x:c>
    </x:row>
    <x:row r="448">
      <x:c r="A448" s="101" t="str">
        <x:v>大阪府</x:v>
      </x:c>
      <x:c r="B448" s="101" t="str">
        <x:v>D</x:v>
      </x:c>
      <x:c r="C448" s="101" t="str">
        <x:v>建設業</x:v>
      </x:c>
      <x:c r="D448" s="102" t="n">
        <x:v>27254</x:v>
      </x:c>
      <x:c r="E448" s="102" t="n">
        <x:f>1+COUNTIFS($C$4:$C$802,C448,$D$4:$D$802,"&gt;"&amp;D448)</x:f>
        <x:v>3</x:v>
      </x:c>
      <x:c r="F448" s="102" t="n">
        <x:v>8837685</x:v>
      </x:c>
      <x:c r="G448" s="126" t="n">
        <x:f>D448/F448*100000</x:f>
        <x:v>308.3839263336496</x:v>
      </x:c>
      <x:c r="H448" s="127" t="n">
        <x:f>1+COUNTIFS($C$4:$C$802,C448,$G$4:$G$802,"&gt;"&amp;G448)</x:f>
        <x:v>44</x:v>
      </x:c>
      <x:c r="I448" s="128" t="n">
        <x:f>D448/SUMIF($C$4:$C$802,C448,$D$4:$D$802)</x:f>
        <x:v>0.056178177208405906</x:v>
      </x:c>
      <x:c r="J448" s="103" t="n">
        <x:f>(D448/SUMIF($A$4:$A$802,A448,$D$4:$D$802))/(SUMIF($C$4:$C$802,C448,$D$4:$D$802)/SUM($D$4:$D$802))</x:f>
        <x:v>0.7536666759772931</x:v>
      </x:c>
    </x:row>
    <x:row r="449">
      <x:c r="A449" s="101" t="str">
        <x:v>大阪府</x:v>
      </x:c>
      <x:c r="B449" s="101" t="str">
        <x:v>E</x:v>
      </x:c>
      <x:c r="C449" s="101" t="str">
        <x:v>製造業</x:v>
      </x:c>
      <x:c r="D449" s="102" t="n">
        <x:v>38943</x:v>
      </x:c>
      <x:c r="E449" s="102" t="n">
        <x:f>1+COUNTIFS($C$4:$C$802,C449,$D$4:$D$802,"&gt;"&amp;D449)</x:f>
        <x:v>1</x:v>
      </x:c>
      <x:c r="F449" s="102" t="n">
        <x:v>8837685</x:v>
      </x:c>
      <x:c r="G449" s="126" t="n">
        <x:f>D449/F449*100000</x:f>
        <x:v>440.6470699057502</x:v>
      </x:c>
      <x:c r="H449" s="127" t="n">
        <x:f>1+COUNTIFS($C$4:$C$802,C449,$G$4:$G$802,"&gt;"&amp;G449)</x:f>
        <x:v>11</x:v>
      </x:c>
      <x:c r="I449" s="128" t="n">
        <x:f>D449/SUMIF($C$4:$C$802,C449,$D$4:$D$802)</x:f>
        <x:v>0.094380502984608</x:v>
      </x:c>
      <x:c r="J449" s="103" t="n">
        <x:f>(D449/SUMIF($A$4:$A$802,A449,$D$4:$D$802))/(SUMIF($C$4:$C$802,C449,$D$4:$D$802)/SUM($D$4:$D$802))</x:f>
        <x:v>1.2661756485547049</x:v>
      </x:c>
    </x:row>
    <x:row r="450">
      <x:c r="A450" s="101" t="str">
        <x:v>大阪府</x:v>
      </x:c>
      <x:c r="B450" s="101" t="str">
        <x:v>F</x:v>
      </x:c>
      <x:c r="C450" s="101" t="str">
        <x:v>電気・ガス・熱供給・水道業</x:v>
      </x:c>
      <x:c r="D450" s="102" t="n">
        <x:v>340</x:v>
      </x:c>
      <x:c r="E450" s="102" t="n">
        <x:f>1+COUNTIFS($C$4:$C$802,C450,$D$4:$D$802,"&gt;"&amp;D450)</x:f>
        <x:v>6</x:v>
      </x:c>
      <x:c r="F450" s="102" t="n">
        <x:v>8837685</x:v>
      </x:c>
      <x:c r="G450" s="126" t="n">
        <x:f>D450/F450*100000</x:f>
        <x:v>3.847161332407752</x:v>
      </x:c>
      <x:c r="H450" s="127" t="n">
        <x:f>1+COUNTIFS($C$4:$C$802,C450,$G$4:$G$802,"&gt;"&amp;G450)</x:f>
        <x:v>44</x:v>
      </x:c>
      <x:c r="I450" s="128" t="n">
        <x:f>D450/SUMIF($C$4:$C$802,C450,$D$4:$D$802)</x:f>
        <x:v>0.03720319509793194</x:v>
      </x:c>
      <x:c r="J450" s="103" t="n">
        <x:f>(D450/SUMIF($A$4:$A$802,A450,$D$4:$D$802))/(SUMIF($C$4:$C$802,C450,$D$4:$D$802)/SUM($D$4:$D$802))</x:f>
        <x:v>0.49910498664235153</x:v>
      </x:c>
    </x:row>
    <x:row r="451">
      <x:c r="A451" s="101" t="str">
        <x:v>大阪府</x:v>
      </x:c>
      <x:c r="B451" s="101" t="str">
        <x:v>G</x:v>
      </x:c>
      <x:c r="C451" s="101" t="str">
        <x:v>情報通信業</x:v>
      </x:c>
      <x:c r="D451" s="102" t="n">
        <x:v>6909</x:v>
      </x:c>
      <x:c r="E451" s="102" t="n">
        <x:f>1+COUNTIFS($C$4:$C$802,C451,$D$4:$D$802,"&gt;"&amp;D451)</x:f>
        <x:v>2</x:v>
      </x:c>
      <x:c r="F451" s="102" t="n">
        <x:v>8837685</x:v>
      </x:c>
      <x:c r="G451" s="126" t="n">
        <x:f>D451/F451*100000</x:f>
        <x:v>78.1765813106034</x:v>
      </x:c>
      <x:c r="H451" s="127" t="n">
        <x:f>1+COUNTIFS($C$4:$C$802,C451,$G$4:$G$802,"&gt;"&amp;G451)</x:f>
        <x:v>2</x:v>
      </x:c>
      <x:c r="I451" s="128" t="n">
        <x:f>D451/SUMIF($C$4:$C$802,C451,$D$4:$D$802)</x:f>
        <x:v>0.09024412544573467</x:v>
      </x:c>
      <x:c r="J451" s="103" t="n">
        <x:f>(D451/SUMIF($A$4:$A$802,A451,$D$4:$D$802))/(SUMIF($C$4:$C$802,C451,$D$4:$D$802)/SUM($D$4:$D$802))</x:f>
        <x:v>1.2106834616376232</x:v>
      </x:c>
    </x:row>
    <x:row r="452">
      <x:c r="A452" s="101" t="str">
        <x:v>大阪府</x:v>
      </x:c>
      <x:c r="B452" s="101" t="str">
        <x:v>H</x:v>
      </x:c>
      <x:c r="C452" s="101" t="str">
        <x:v>運輸業，郵便業</x:v>
      </x:c>
      <x:c r="D452" s="102" t="n">
        <x:v>10121</x:v>
      </x:c>
      <x:c r="E452" s="102" t="n">
        <x:f>1+COUNTIFS($C$4:$C$802,C452,$D$4:$D$802,"&gt;"&amp;D452)</x:f>
        <x:v>2</x:v>
      </x:c>
      <x:c r="F452" s="102" t="n">
        <x:v>8837685</x:v>
      </x:c>
      <x:c r="G452" s="126" t="n">
        <x:f>D452/F452*100000</x:f>
        <x:v>114.52094072146723</x:v>
      </x:c>
      <x:c r="H452" s="127" t="n">
        <x:f>1+COUNTIFS($C$4:$C$802,C452,$G$4:$G$802,"&gt;"&amp;G452)</x:f>
        <x:v>9</x:v>
      </x:c>
      <x:c r="I452" s="128" t="n">
        <x:f>D452/SUMIF($C$4:$C$802,C452,$D$4:$D$802)</x:f>
        <x:v>0.07893218118292987</x:v>
      </x:c>
      <x:c r="J452" s="103" t="n">
        <x:f>(D452/SUMIF($A$4:$A$802,A452,$D$4:$D$802))/(SUMIF($C$4:$C$802,C452,$D$4:$D$802)/SUM($D$4:$D$802))</x:f>
        <x:v>1.0589263941243534</x:v>
      </x:c>
    </x:row>
    <x:row r="453">
      <x:c r="A453" s="101" t="str">
        <x:v>大阪府</x:v>
      </x:c>
      <x:c r="B453" s="101" t="str">
        <x:v>I</x:v>
      </x:c>
      <x:c r="C453" s="101" t="str">
        <x:v>卸売業，小売業</x:v>
      </x:c>
      <x:c r="D453" s="102" t="n">
        <x:v>90008</x:v>
      </x:c>
      <x:c r="E453" s="102" t="n">
        <x:f>1+COUNTIFS($C$4:$C$802,C453,$D$4:$D$802,"&gt;"&amp;D453)</x:f>
        <x:v>2</x:v>
      </x:c>
      <x:c r="F453" s="102" t="n">
        <x:v>8837685</x:v>
      </x:c>
      <x:c r="G453" s="126" t="n">
        <x:f>D453/F453*100000</x:f>
        <x:v>1018.4567564922262</x:v>
      </x:c>
      <x:c r="H453" s="127" t="n">
        <x:f>1+COUNTIFS($C$4:$C$802,C453,$G$4:$G$802,"&gt;"&amp;G453)</x:f>
        <x:v>32</x:v>
      </x:c>
      <x:c r="I453" s="128" t="n">
        <x:f>D453/SUMIF($C$4:$C$802,C453,$D$4:$D$802)</x:f>
        <x:v>0.07324154542199655</x:v>
      </x:c>
      <x:c r="J453" s="103" t="n">
        <x:f>(D453/SUMIF($A$4:$A$802,A453,$D$4:$D$802))/(SUMIF($C$4:$C$802,C453,$D$4:$D$802)/SUM($D$4:$D$802))</x:f>
        <x:v>0.982582825299938</x:v>
      </x:c>
    </x:row>
    <x:row r="454">
      <x:c r="A454" s="101" t="str">
        <x:v>大阪府</x:v>
      </x:c>
      <x:c r="B454" s="101" t="str">
        <x:v>J</x:v>
      </x:c>
      <x:c r="C454" s="101" t="str">
        <x:v>金融業，保険業</x:v>
      </x:c>
      <x:c r="D454" s="102" t="n">
        <x:v>5412</x:v>
      </x:c>
      <x:c r="E454" s="102" t="n">
        <x:f>1+COUNTIFS($C$4:$C$802,C454,$D$4:$D$802,"&gt;"&amp;D454)</x:f>
        <x:v>2</x:v>
      </x:c>
      <x:c r="F454" s="102" t="n">
        <x:v>8837685</x:v>
      </x:c>
      <x:c r="G454" s="126" t="n">
        <x:f>D454/F454*100000</x:f>
        <x:v>61.23775626761986</x:v>
      </x:c>
      <x:c r="H454" s="127" t="n">
        <x:f>1+COUNTIFS($C$4:$C$802,C454,$G$4:$G$802,"&gt;"&amp;G454)</x:f>
        <x:v>38</x:v>
      </x:c>
      <x:c r="I454" s="128" t="n">
        <x:f>D454/SUMIF($C$4:$C$802,C454,$D$4:$D$802)</x:f>
        <x:v>0.06454228879454277</x:v>
      </x:c>
      <x:c r="J454" s="103" t="n">
        <x:f>(D454/SUMIF($A$4:$A$802,A454,$D$4:$D$802))/(SUMIF($C$4:$C$802,C454,$D$4:$D$802)/SUM($D$4:$D$802))</x:f>
        <x:v>0.8658766566116186</x:v>
      </x:c>
    </x:row>
    <x:row r="455">
      <x:c r="A455" s="101" t="str">
        <x:v>大阪府</x:v>
      </x:c>
      <x:c r="B455" s="101" t="str">
        <x:v>K</x:v>
      </x:c>
      <x:c r="C455" s="101" t="str">
        <x:v>不動産業，物品賃貸業</x:v>
      </x:c>
      <x:c r="D455" s="102" t="n">
        <x:v>36325</x:v>
      </x:c>
      <x:c r="E455" s="102" t="n">
        <x:f>1+COUNTIFS($C$4:$C$802,C455,$D$4:$D$802,"&gt;"&amp;D455)</x:f>
        <x:v>2</x:v>
      </x:c>
      <x:c r="F455" s="102" t="n">
        <x:v>8837685</x:v>
      </x:c>
      <x:c r="G455" s="126" t="n">
        <x:f>D455/F455*100000</x:f>
        <x:v>411.0239276462105</x:v>
      </x:c>
      <x:c r="H455" s="127" t="n">
        <x:f>1+COUNTIFS($C$4:$C$802,C455,$G$4:$G$802,"&gt;"&amp;G455)</x:f>
        <x:v>2</x:v>
      </x:c>
      <x:c r="I455" s="128" t="n">
        <x:f>D455/SUMIF($C$4:$C$802,C455,$D$4:$D$802)</x:f>
        <x:v>0.09700739205674365</x:v>
      </x:c>
      <x:c r="J455" s="103" t="n">
        <x:f>(D455/SUMIF($A$4:$A$802,A455,$D$4:$D$802))/(SUMIF($C$4:$C$802,C455,$D$4:$D$802)/SUM($D$4:$D$802))</x:f>
        <x:v>1.3014170688630398</x:v>
      </x:c>
    </x:row>
    <x:row r="456">
      <x:c r="A456" s="101" t="str">
        <x:v>大阪府</x:v>
      </x:c>
      <x:c r="B456" s="101" t="str">
        <x:v>L</x:v>
      </x:c>
      <x:c r="C456" s="101" t="str">
        <x:v>学術研究，専門・技術サービス業</x:v>
      </x:c>
      <x:c r="D456" s="102" t="n">
        <x:v>21640</x:v>
      </x:c>
      <x:c r="E456" s="102" t="n">
        <x:f>1+COUNTIFS($C$4:$C$802,C456,$D$4:$D$802,"&gt;"&amp;D456)</x:f>
        <x:v>2</x:v>
      </x:c>
      <x:c r="F456" s="102" t="n">
        <x:v>8837685</x:v>
      </x:c>
      <x:c r="G456" s="126" t="n">
        <x:f>D456/F456*100000</x:f>
        <x:v>244.86050362736395</x:v>
      </x:c>
      <x:c r="H456" s="127" t="n">
        <x:f>1+COUNTIFS($C$4:$C$802,C456,$G$4:$G$802,"&gt;"&amp;G456)</x:f>
        <x:v>2</x:v>
      </x:c>
      <x:c r="I456" s="128" t="n">
        <x:f>D456/SUMIF($C$4:$C$802,C456,$D$4:$D$802)</x:f>
        <x:v>0.08575731156376318</x:v>
      </x:c>
      <x:c r="J456" s="103" t="n">
        <x:f>(D456/SUMIF($A$4:$A$802,A456,$D$4:$D$802))/(SUMIF($C$4:$C$802,C456,$D$4:$D$802)/SUM($D$4:$D$802))</x:f>
        <x:v>1.1504899439375111</x:v>
      </x:c>
    </x:row>
    <x:row r="457">
      <x:c r="A457" s="101" t="str">
        <x:v>大阪府</x:v>
      </x:c>
      <x:c r="B457" s="101" t="str">
        <x:v>M</x:v>
      </x:c>
      <x:c r="C457" s="101" t="str">
        <x:v>宿泊業，飲食サービス業</x:v>
      </x:c>
      <x:c r="D457" s="102" t="n">
        <x:v>44729</x:v>
      </x:c>
      <x:c r="E457" s="102" t="n">
        <x:f>1+COUNTIFS($C$4:$C$802,C457,$D$4:$D$802,"&gt;"&amp;D457)</x:f>
        <x:v>2</x:v>
      </x:c>
      <x:c r="F457" s="102" t="n">
        <x:v>8837685</x:v>
      </x:c>
      <x:c r="G457" s="126" t="n">
        <x:f>D457/F457*100000</x:f>
        <x:v>506.1167036390186</x:v>
      </x:c>
      <x:c r="H457" s="127" t="n">
        <x:f>1+COUNTIFS($C$4:$C$802,C457,$G$4:$G$802,"&gt;"&amp;G457)</x:f>
        <x:v>25</x:v>
      </x:c>
      <x:c r="I457" s="128" t="n">
        <x:f>D457/SUMIF($C$4:$C$802,C457,$D$4:$D$802)</x:f>
        <x:v>0.07466555825980122</x:v>
      </x:c>
      <x:c r="J457" s="103" t="n">
        <x:f>(D457/SUMIF($A$4:$A$802,A457,$D$4:$D$802))/(SUMIF($C$4:$C$802,C457,$D$4:$D$802)/SUM($D$4:$D$802))</x:f>
        <x:v>1.001686880919896</x:v>
      </x:c>
    </x:row>
    <x:row r="458">
      <x:c r="A458" s="101" t="str">
        <x:v>大阪府</x:v>
      </x:c>
      <x:c r="B458" s="101" t="str">
        <x:v>N</x:v>
      </x:c>
      <x:c r="C458" s="101" t="str">
        <x:v>生活関連サービス業，娯楽業</x:v>
      </x:c>
      <x:c r="D458" s="102" t="n">
        <x:v>27032</x:v>
      </x:c>
      <x:c r="E458" s="102" t="n">
        <x:f>1+COUNTIFS($C$4:$C$802,C458,$D$4:$D$802,"&gt;"&amp;D458)</x:f>
        <x:v>2</x:v>
      </x:c>
      <x:c r="F458" s="102" t="n">
        <x:v>8837685</x:v>
      </x:c>
      <x:c r="G458" s="126" t="n">
        <x:f>D458/F458*100000</x:f>
        <x:v>305.8719562871951</x:v>
      </x:c>
      <x:c r="H458" s="127" t="n">
        <x:f>1+COUNTIFS($C$4:$C$802,C458,$G$4:$G$802,"&gt;"&amp;G458)</x:f>
        <x:v>43</x:v>
      </x:c>
      <x:c r="I458" s="128" t="n">
        <x:f>D458/SUMIF($C$4:$C$802,C458,$D$4:$D$802)</x:f>
        <x:v>0.06225573398985281</x:v>
      </x:c>
      <x:c r="J458" s="103" t="n">
        <x:f>(D458/SUMIF($A$4:$A$802,A458,$D$4:$D$802))/(SUMIF($C$4:$C$802,C458,$D$4:$D$802)/SUM($D$4:$D$802))</x:f>
        <x:v>0.8352010411907479</x:v>
      </x:c>
    </x:row>
    <x:row r="459">
      <x:c r="A459" s="101" t="str">
        <x:v>大阪府</x:v>
      </x:c>
      <x:c r="B459" s="101" t="str">
        <x:v>O</x:v>
      </x:c>
      <x:c r="C459" s="101" t="str">
        <x:v>教育，学習支援業</x:v>
      </x:c>
      <x:c r="D459" s="102" t="n">
        <x:v>11746</x:v>
      </x:c>
      <x:c r="E459" s="102" t="n">
        <x:f>1+COUNTIFS($C$4:$C$802,C459,$D$4:$D$802,"&gt;"&amp;D459)</x:f>
        <x:v>2</x:v>
      </x:c>
      <x:c r="F459" s="102" t="n">
        <x:v>8837685</x:v>
      </x:c>
      <x:c r="G459" s="126" t="n">
        <x:f>D459/F459*100000</x:f>
        <x:v>132.90810885429838</x:v>
      </x:c>
      <x:c r="H459" s="127" t="n">
        <x:f>1+COUNTIFS($C$4:$C$802,C459,$G$4:$G$802,"&gt;"&amp;G459)</x:f>
        <x:v>23</x:v>
      </x:c>
      <x:c r="I459" s="128" t="n">
        <x:f>D459/SUMIF($C$4:$C$802,C459,$D$4:$D$802)</x:f>
        <x:v>0.07190386699070135</x:v>
      </x:c>
      <x:c r="J459" s="103" t="n">
        <x:f>(D459/SUMIF($A$4:$A$802,A459,$D$4:$D$802))/(SUMIF($C$4:$C$802,C459,$D$4:$D$802)/SUM($D$4:$D$802))</x:f>
        <x:v>0.9646370017268314</x:v>
      </x:c>
    </x:row>
    <x:row r="460">
      <x:c r="A460" s="101" t="str">
        <x:v>大阪府</x:v>
      </x:c>
      <x:c r="B460" s="101" t="str">
        <x:v>P</x:v>
      </x:c>
      <x:c r="C460" s="101" t="str">
        <x:v>医療，福祉</x:v>
      </x:c>
      <x:c r="D460" s="102" t="n">
        <x:v>38092</x:v>
      </x:c>
      <x:c r="E460" s="102" t="n">
        <x:f>1+COUNTIFS($C$4:$C$802,C460,$D$4:$D$802,"&gt;"&amp;D460)</x:f>
        <x:v>2</x:v>
      </x:c>
      <x:c r="F460" s="102" t="n">
        <x:v>8837685</x:v>
      </x:c>
      <x:c r="G460" s="126" t="n">
        <x:f>D460/F460*100000</x:f>
        <x:v>431.01785139434145</x:v>
      </x:c>
      <x:c r="H460" s="127" t="n">
        <x:f>1+COUNTIFS($C$4:$C$802,C460,$G$4:$G$802,"&gt;"&amp;G460)</x:f>
        <x:v>7</x:v>
      </x:c>
      <x:c r="I460" s="128" t="n">
        <x:f>D460/SUMIF($C$4:$C$802,C460,$D$4:$D$802)</x:f>
        <x:v>0.08235556103266592</x:v>
      </x:c>
      <x:c r="J460" s="103" t="n">
        <x:f>(D460/SUMIF($A$4:$A$802,A460,$D$4:$D$802))/(SUMIF($C$4:$C$802,C460,$D$4:$D$802)/SUM($D$4:$D$802))</x:f>
        <x:v>1.104853254698465</x:v>
      </x:c>
    </x:row>
    <x:row r="461">
      <x:c r="A461" s="101" t="str">
        <x:v>大阪府</x:v>
      </x:c>
      <x:c r="B461" s="101" t="str">
        <x:v>Q</x:v>
      </x:c>
      <x:c r="C461" s="101" t="str">
        <x:v>複合サービス事業</x:v>
      </x:c>
      <x:c r="D461" s="102" t="n">
        <x:v>1373</x:v>
      </x:c>
      <x:c r="E461" s="102" t="n">
        <x:f>1+COUNTIFS($C$4:$C$802,C461,$D$4:$D$802,"&gt;"&amp;D461)</x:f>
        <x:v>3</x:v>
      </x:c>
      <x:c r="F461" s="102" t="n">
        <x:v>8837685</x:v>
      </x:c>
      <x:c r="G461" s="126" t="n">
        <x:f>D461/F461*100000</x:f>
        <x:v>15.535742674693655</x:v>
      </x:c>
      <x:c r="H461" s="127" t="n">
        <x:f>1+COUNTIFS($C$4:$C$802,C461,$G$4:$G$802,"&gt;"&amp;G461)</x:f>
        <x:v>43</x:v>
      </x:c>
      <x:c r="I461" s="128" t="n">
        <x:f>D461/SUMIF($C$4:$C$802,C461,$D$4:$D$802)</x:f>
        <x:v>0.04273131866421836</x:v>
      </x:c>
      <x:c r="J461" s="103" t="n">
        <x:f>(D461/SUMIF($A$4:$A$802,A461,$D$4:$D$802))/(SUMIF($C$4:$C$802,C461,$D$4:$D$802)/SUM($D$4:$D$802))</x:f>
        <x:v>0.573268348994582</x:v>
      </x:c>
    </x:row>
    <x:row r="462">
      <x:c r="A462" s="101" t="str">
        <x:v>大阪府</x:v>
      </x:c>
      <x:c r="B462" s="101" t="str">
        <x:v>R</x:v>
      </x:c>
      <x:c r="C462" s="101" t="str">
        <x:v>サービス業（他に分類されないもの）</x:v>
      </x:c>
      <x:c r="D462" s="102" t="n">
        <x:v>24025</x:v>
      </x:c>
      <x:c r="E462" s="102" t="n">
        <x:f>1+COUNTIFS($C$4:$C$802,C462,$D$4:$D$802,"&gt;"&amp;D462)</x:f>
        <x:v>2</x:v>
      </x:c>
      <x:c r="F462" s="102" t="n">
        <x:v>8837685</x:v>
      </x:c>
      <x:c r="G462" s="126" t="n">
        <x:f>D462/F462*100000</x:f>
        <x:v>271.84720885616537</x:v>
      </x:c>
      <x:c r="H462" s="127" t="n">
        <x:f>1+COUNTIFS($C$4:$C$802,C462,$G$4:$G$802,"&gt;"&amp;G462)</x:f>
        <x:v>42</x:v>
      </x:c>
      <x:c r="I462" s="128" t="n">
        <x:f>D462/SUMIF($C$4:$C$802,C462,$D$4:$D$802)</x:f>
        <x:v>0.06507101610998559</x:v>
      </x:c>
      <x:c r="J462" s="103" t="n">
        <x:f>(D462/SUMIF($A$4:$A$802,A462,$D$4:$D$802))/(SUMIF($C$4:$C$802,C462,$D$4:$D$802)/SUM($D$4:$D$802))</x:f>
        <x:v>0.8729698764013942</x:v>
      </x:c>
    </x:row>
    <x:row r="463">
      <x:c r="A463" s="101" t="str">
        <x:v>兵庫県</x:v>
      </x:c>
      <x:c r="B463" s="101" t="str">
        <x:v>AB</x:v>
      </x:c>
      <x:c r="C463" s="101" t="str">
        <x:v>農林漁業</x:v>
      </x:c>
      <x:c r="D463" s="102" t="n">
        <x:v>1024</x:v>
      </x:c>
      <x:c r="E463" s="102" t="n">
        <x:f>1+COUNTIFS($C$4:$C$802,C463,$D$4:$D$802,"&gt;"&amp;D463)</x:f>
        <x:v>12</x:v>
      </x:c>
      <x:c r="F463" s="102" t="n">
        <x:v>5465002</x:v>
      </x:c>
      <x:c r="G463" s="126" t="n">
        <x:f>D463/F463*100000</x:f>
        <x:v>18.737413087863462</x:v>
      </x:c>
      <x:c r="H463" s="127" t="n">
        <x:f>1+COUNTIFS($C$4:$C$802,C463,$G$4:$G$802,"&gt;"&amp;G463)</x:f>
        <x:v>41</x:v>
      </x:c>
      <x:c r="I463" s="128" t="n">
        <x:f>D463/SUMIF($C$4:$C$802,C463,$D$4:$D$802)</x:f>
        <x:v>0.02411795185830703</x:v>
      </x:c>
      <x:c r="J463" s="103" t="n">
        <x:f>(D463/SUMIF($A$4:$A$802,A463,$D$4:$D$802))/(SUMIF($C$4:$C$802,C463,$D$4:$D$802)/SUM($D$4:$D$802))</x:f>
        <x:v>0.6122388976205273</x:v>
      </x:c>
    </x:row>
    <x:row r="464">
      <x:c r="A464" s="101" t="str">
        <x:v>兵庫県</x:v>
      </x:c>
      <x:c r="B464" s="101" t="str">
        <x:v>C</x:v>
      </x:c>
      <x:c r="C464" s="101" t="str">
        <x:v>鉱業，採石業，砂利採取業</x:v>
      </x:c>
      <x:c r="D464" s="102" t="n">
        <x:v>33</x:v>
      </x:c>
      <x:c r="E464" s="102" t="n">
        <x:f>1+COUNTIFS($C$4:$C$802,C464,$D$4:$D$802,"&gt;"&amp;D464)</x:f>
        <x:v>21</x:v>
      </x:c>
      <x:c r="F464" s="102" t="n">
        <x:v>5465002</x:v>
      </x:c>
      <x:c r="G464" s="126" t="n">
        <x:f>D464/F464*100000</x:f>
        <x:v>0.6038424139643499</x:v>
      </x:c>
      <x:c r="H464" s="127" t="n">
        <x:f>1+COUNTIFS($C$4:$C$802,C464,$G$4:$G$802,"&gt;"&amp;G464)</x:f>
        <x:v>42</x:v>
      </x:c>
      <x:c r="I464" s="128" t="n">
        <x:f>D464/SUMIF($C$4:$C$802,C464,$D$4:$D$802)</x:f>
        <x:v>0.01769436997319035</x:v>
      </x:c>
      <x:c r="J464" s="103" t="n">
        <x:f>(D464/SUMIF($A$4:$A$802,A464,$D$4:$D$802))/(SUMIF($C$4:$C$802,C464,$D$4:$D$802)/SUM($D$4:$D$802))</x:f>
        <x:v>0.44917502241155294</x:v>
      </x:c>
    </x:row>
    <x:row r="465">
      <x:c r="A465" s="101" t="str">
        <x:v>兵庫県</x:v>
      </x:c>
      <x:c r="B465" s="101" t="str">
        <x:v>D</x:v>
      </x:c>
      <x:c r="C465" s="101" t="str">
        <x:v>建設業</x:v>
      </x:c>
      <x:c r="D465" s="102" t="n">
        <x:v>16634</x:v>
      </x:c>
      <x:c r="E465" s="102" t="n">
        <x:f>1+COUNTIFS($C$4:$C$802,C465,$D$4:$D$802,"&gt;"&amp;D465)</x:f>
        <x:v>9</x:v>
      </x:c>
      <x:c r="F465" s="102" t="n">
        <x:v>5465002</x:v>
      </x:c>
      <x:c r="G465" s="126" t="n">
        <x:f>D465/F465*100000</x:f>
        <x:v>304.37317314796957</x:v>
      </x:c>
      <x:c r="H465" s="127" t="n">
        <x:f>1+COUNTIFS($C$4:$C$802,C465,$G$4:$G$802,"&gt;"&amp;G465)</x:f>
        <x:v>45</x:v>
      </x:c>
      <x:c r="I465" s="128" t="n">
        <x:f>D465/SUMIF($C$4:$C$802,C465,$D$4:$D$802)</x:f>
        <x:v>0.03428736331124326</x:v>
      </x:c>
      <x:c r="J465" s="103" t="n">
        <x:f>(D465/SUMIF($A$4:$A$802,A465,$D$4:$D$802))/(SUMIF($C$4:$C$802,C465,$D$4:$D$802)/SUM($D$4:$D$802))</x:f>
        <x:v>0.870391384779206</x:v>
      </x:c>
    </x:row>
    <x:row r="466">
      <x:c r="A466" s="101" t="str">
        <x:v>兵庫県</x:v>
      </x:c>
      <x:c r="B466" s="101" t="str">
        <x:v>E</x:v>
      </x:c>
      <x:c r="C466" s="101" t="str">
        <x:v>製造業</x:v>
      </x:c>
      <x:c r="D466" s="102" t="n">
        <x:v>16573</x:v>
      </x:c>
      <x:c r="E466" s="102" t="n">
        <x:f>1+COUNTIFS($C$4:$C$802,C466,$D$4:$D$802,"&gt;"&amp;D466)</x:f>
        <x:v>7</x:v>
      </x:c>
      <x:c r="F466" s="102" t="n">
        <x:v>5465002</x:v>
      </x:c>
      <x:c r="G466" s="126" t="n">
        <x:f>D466/F466*100000</x:f>
        <x:v>303.25697959488394</x:v>
      </x:c>
      <x:c r="H466" s="127" t="n">
        <x:f>1+COUNTIFS($C$4:$C$802,C466,$G$4:$G$802,"&gt;"&amp;G466)</x:f>
        <x:v>30</x:v>
      </x:c>
      <x:c r="I466" s="128" t="n">
        <x:f>D466/SUMIF($C$4:$C$802,C466,$D$4:$D$802)</x:f>
        <x:v>0.04016557727868701</x:v>
      </x:c>
      <x:c r="J466" s="103" t="n">
        <x:f>(D466/SUMIF($A$4:$A$802,A466,$D$4:$D$802))/(SUMIF($C$4:$C$802,C466,$D$4:$D$802)/SUM($D$4:$D$802))</x:f>
        <x:v>1.0196109893521281</x:v>
      </x:c>
    </x:row>
    <x:row r="467">
      <x:c r="A467" s="101" t="str">
        <x:v>兵庫県</x:v>
      </x:c>
      <x:c r="B467" s="101" t="str">
        <x:v>F</x:v>
      </x:c>
      <x:c r="C467" s="101" t="str">
        <x:v>電気・ガス・熱供給・水道業</x:v>
      </x:c>
      <x:c r="D467" s="102" t="n">
        <x:v>276</x:v>
      </x:c>
      <x:c r="E467" s="102" t="n">
        <x:f>1+COUNTIFS($C$4:$C$802,C467,$D$4:$D$802,"&gt;"&amp;D467)</x:f>
        <x:v>10</x:v>
      </x:c>
      <x:c r="F467" s="102" t="n">
        <x:v>5465002</x:v>
      </x:c>
      <x:c r="G467" s="126" t="n">
        <x:f>D467/F467*100000</x:f>
        <x:v>5.050318371338199</x:v>
      </x:c>
      <x:c r="H467" s="127" t="n">
        <x:f>1+COUNTIFS($C$4:$C$802,C467,$G$4:$G$802,"&gt;"&amp;G467)</x:f>
        <x:v>41</x:v>
      </x:c>
      <x:c r="I467" s="128" t="n">
        <x:f>D467/SUMIF($C$4:$C$802,C467,$D$4:$D$802)</x:f>
        <x:v>0.030200240726556516</x:v>
      </x:c>
      <x:c r="J467" s="103" t="n">
        <x:f>(D467/SUMIF($A$4:$A$802,A467,$D$4:$D$802))/(SUMIF($C$4:$C$802,C467,$D$4:$D$802)/SUM($D$4:$D$802))</x:f>
        <x:v>0.766638983232443</x:v>
      </x:c>
    </x:row>
    <x:row r="468">
      <x:c r="A468" s="101" t="str">
        <x:v>兵庫県</x:v>
      </x:c>
      <x:c r="B468" s="101" t="str">
        <x:v>G</x:v>
      </x:c>
      <x:c r="C468" s="101" t="str">
        <x:v>情報通信業</x:v>
      </x:c>
      <x:c r="D468" s="102" t="n">
        <x:v>1800</x:v>
      </x:c>
      <x:c r="E468" s="102" t="n">
        <x:f>1+COUNTIFS($C$4:$C$802,C468,$D$4:$D$802,"&gt;"&amp;D468)</x:f>
        <x:v>9</x:v>
      </x:c>
      <x:c r="F468" s="102" t="n">
        <x:v>5465002</x:v>
      </x:c>
      <x:c r="G468" s="126" t="n">
        <x:f>D468/F468*100000</x:f>
        <x:v>32.93685894350999</x:v>
      </x:c>
      <x:c r="H468" s="127" t="n">
        <x:f>1+COUNTIFS($C$4:$C$802,C468,$G$4:$G$802,"&gt;"&amp;G468)</x:f>
        <x:v>27</x:v>
      </x:c>
      <x:c r="I468" s="128" t="n">
        <x:f>D468/SUMIF($C$4:$C$802,C468,$D$4:$D$802)</x:f>
        <x:v>0.023511278882953016</x:v>
      </x:c>
      <x:c r="J468" s="103" t="n">
        <x:f>(D468/SUMIF($A$4:$A$802,A468,$D$4:$D$802))/(SUMIF($C$4:$C$802,C468,$D$4:$D$802)/SUM($D$4:$D$802))</x:f>
        <x:v>0.5968383861745697</x:v>
      </x:c>
    </x:row>
    <x:row r="469">
      <x:c r="A469" s="101" t="str">
        <x:v>兵庫県</x:v>
      </x:c>
      <x:c r="B469" s="101" t="str">
        <x:v>H</x:v>
      </x:c>
      <x:c r="C469" s="101" t="str">
        <x:v>運輸業，郵便業</x:v>
      </x:c>
      <x:c r="D469" s="102" t="n">
        <x:v>5316</x:v>
      </x:c>
      <x:c r="E469" s="102" t="n">
        <x:f>1+COUNTIFS($C$4:$C$802,C469,$D$4:$D$802,"&gt;"&amp;D469)</x:f>
        <x:v>9</x:v>
      </x:c>
      <x:c r="F469" s="102" t="n">
        <x:v>5465002</x:v>
      </x:c>
      <x:c r="G469" s="126" t="n">
        <x:f>D469/F469*100000</x:f>
        <x:v>97.27352341316619</x:v>
      </x:c>
      <x:c r="H469" s="127" t="n">
        <x:f>1+COUNTIFS($C$4:$C$802,C469,$G$4:$G$802,"&gt;"&amp;G469)</x:f>
        <x:v>32</x:v>
      </x:c>
      <x:c r="I469" s="128" t="n">
        <x:f>D469/SUMIF($C$4:$C$802,C469,$D$4:$D$802)</x:f>
        <x:v>0.04145869727976042</x:v>
      </x:c>
      <x:c r="J469" s="103" t="n">
        <x:f>(D469/SUMIF($A$4:$A$802,A469,$D$4:$D$802))/(SUMIF($C$4:$C$802,C469,$D$4:$D$802)/SUM($D$4:$D$802))</x:f>
        <x:v>1.0524370920245052</x:v>
      </x:c>
    </x:row>
    <x:row r="470">
      <x:c r="A470" s="101" t="str">
        <x:v>兵庫県</x:v>
      </x:c>
      <x:c r="B470" s="101" t="str">
        <x:v>I</x:v>
      </x:c>
      <x:c r="C470" s="101" t="str">
        <x:v>卸売業，小売業</x:v>
      </x:c>
      <x:c r="D470" s="102" t="n">
        <x:v>47973</x:v>
      </x:c>
      <x:c r="E470" s="102" t="n">
        <x:f>1+COUNTIFS($C$4:$C$802,C470,$D$4:$D$802,"&gt;"&amp;D470)</x:f>
        <x:v>8</x:v>
      </x:c>
      <x:c r="F470" s="102" t="n">
        <x:v>5465002</x:v>
      </x:c>
      <x:c r="G470" s="126" t="n">
        <x:f>D470/F470*100000</x:f>
        <x:v>877.8221856094473</x:v>
      </x:c>
      <x:c r="H470" s="127" t="n">
        <x:f>1+COUNTIFS($C$4:$C$802,C470,$G$4:$G$802,"&gt;"&amp;G470)</x:f>
        <x:v>42</x:v>
      </x:c>
      <x:c r="I470" s="128" t="n">
        <x:f>D470/SUMIF($C$4:$C$802,C470,$D$4:$D$802)</x:f>
        <x:v>0.03903671516453471</x:v>
      </x:c>
      <x:c r="J470" s="103" t="n">
        <x:f>(D470/SUMIF($A$4:$A$802,A470,$D$4:$D$802))/(SUMIF($C$4:$C$802,C470,$D$4:$D$802)/SUM($D$4:$D$802))</x:f>
        <x:v>0.9909546050789282</x:v>
      </x:c>
    </x:row>
    <x:row r="471">
      <x:c r="A471" s="101" t="str">
        <x:v>兵庫県</x:v>
      </x:c>
      <x:c r="B471" s="101" t="str">
        <x:v>J</x:v>
      </x:c>
      <x:c r="C471" s="101" t="str">
        <x:v>金融業，保険業</x:v>
      </x:c>
      <x:c r="D471" s="102" t="n">
        <x:v>2992</x:v>
      </x:c>
      <x:c r="E471" s="102" t="n">
        <x:f>1+COUNTIFS($C$4:$C$802,C471,$D$4:$D$802,"&gt;"&amp;D471)</x:f>
        <x:v>8</x:v>
      </x:c>
      <x:c r="F471" s="102" t="n">
        <x:v>5465002</x:v>
      </x:c>
      <x:c r="G471" s="126" t="n">
        <x:f>D471/F471*100000</x:f>
        <x:v>54.74837886610106</x:v>
      </x:c>
      <x:c r="H471" s="127" t="n">
        <x:f>1+COUNTIFS($C$4:$C$802,C471,$G$4:$G$802,"&gt;"&amp;G471)</x:f>
        <x:v>43</x:v>
      </x:c>
      <x:c r="I471" s="128" t="n">
        <x:f>D471/SUMIF($C$4:$C$802,C471,$D$4:$D$802)</x:f>
        <x:v>0.03568191575633259</x:v>
      </x:c>
      <x:c r="J471" s="103" t="n">
        <x:f>(D471/SUMIF($A$4:$A$802,A471,$D$4:$D$802))/(SUMIF($C$4:$C$802,C471,$D$4:$D$802)/SUM($D$4:$D$802))</x:f>
        <x:v>0.9057923697663048</x:v>
      </x:c>
    </x:row>
    <x:row r="472">
      <x:c r="A472" s="101" t="str">
        <x:v>兵庫県</x:v>
      </x:c>
      <x:c r="B472" s="101" t="str">
        <x:v>K</x:v>
      </x:c>
      <x:c r="C472" s="101" t="str">
        <x:v>不動産業，物品賃貸業</x:v>
      </x:c>
      <x:c r="D472" s="102" t="n">
        <x:v>14692</x:v>
      </x:c>
      <x:c r="E472" s="102" t="n">
        <x:f>1+COUNTIFS($C$4:$C$802,C472,$D$4:$D$802,"&gt;"&amp;D472)</x:f>
        <x:v>7</x:v>
      </x:c>
      <x:c r="F472" s="102" t="n">
        <x:v>5465002</x:v>
      </x:c>
      <x:c r="G472" s="126" t="n">
        <x:f>D472/F472*100000</x:f>
        <x:v>268.837961998916</x:v>
      </x:c>
      <x:c r="H472" s="127" t="n">
        <x:f>1+COUNTIFS($C$4:$C$802,C472,$G$4:$G$802,"&gt;"&amp;G472)</x:f>
        <x:v>19</x:v>
      </x:c>
      <x:c r="I472" s="128" t="n">
        <x:f>D472/SUMIF($C$4:$C$802,C472,$D$4:$D$802)</x:f>
        <x:v>0.03923558442113359</x:v>
      </x:c>
      <x:c r="J472" s="103" t="n">
        <x:f>(D472/SUMIF($A$4:$A$802,A472,$D$4:$D$802))/(SUMIF($C$4:$C$802,C472,$D$4:$D$802)/SUM($D$4:$D$802))</x:f>
        <x:v>0.9960029398275017</x:v>
      </x:c>
    </x:row>
    <x:row r="473">
      <x:c r="A473" s="101" t="str">
        <x:v>兵庫県</x:v>
      </x:c>
      <x:c r="B473" s="101" t="str">
        <x:v>L</x:v>
      </x:c>
      <x:c r="C473" s="101" t="str">
        <x:v>学術研究，専門・技術サービス業</x:v>
      </x:c>
      <x:c r="D473" s="102" t="n">
        <x:v>9183</x:v>
      </x:c>
      <x:c r="E473" s="102" t="n">
        <x:f>1+COUNTIFS($C$4:$C$802,C473,$D$4:$D$802,"&gt;"&amp;D473)</x:f>
        <x:v>7</x:v>
      </x:c>
      <x:c r="F473" s="102" t="n">
        <x:v>5465002</x:v>
      </x:c>
      <x:c r="G473" s="126" t="n">
        <x:f>D473/F473*100000</x:f>
        <x:v>168.03287537680683</x:v>
      </x:c>
      <x:c r="H473" s="127" t="n">
        <x:f>1+COUNTIFS($C$4:$C$802,C473,$G$4:$G$802,"&gt;"&amp;G473)</x:f>
        <x:v>34</x:v>
      </x:c>
      <x:c r="I473" s="128" t="n">
        <x:f>D473/SUMIF($C$4:$C$802,C473,$D$4:$D$802)</x:f>
        <x:v>0.03639137671395736</x:v>
      </x:c>
      <x:c r="J473" s="103" t="n">
        <x:f>(D473/SUMIF($A$4:$A$802,A473,$D$4:$D$802))/(SUMIF($C$4:$C$802,C473,$D$4:$D$802)/SUM($D$4:$D$802))</x:f>
        <x:v>0.9238021741291652</x:v>
      </x:c>
    </x:row>
    <x:row r="474">
      <x:c r="A474" s="101" t="str">
        <x:v>兵庫県</x:v>
      </x:c>
      <x:c r="B474" s="101" t="str">
        <x:v>M</x:v>
      </x:c>
      <x:c r="C474" s="101" t="str">
        <x:v>宿泊業，飲食サービス業</x:v>
      </x:c>
      <x:c r="D474" s="102" t="n">
        <x:v>25617</x:v>
      </x:c>
      <x:c r="E474" s="102" t="n">
        <x:f>1+COUNTIFS($C$4:$C$802,C474,$D$4:$D$802,"&gt;"&amp;D474)</x:f>
        <x:v>6</x:v>
      </x:c>
      <x:c r="F474" s="102" t="n">
        <x:v>5465002</x:v>
      </x:c>
      <x:c r="G474" s="126" t="n">
        <x:f>D474/F474*100000</x:f>
        <x:v>468.74639753105305</x:v>
      </x:c>
      <x:c r="H474" s="127" t="n">
        <x:f>1+COUNTIFS($C$4:$C$802,C474,$G$4:$G$802,"&gt;"&amp;G474)</x:f>
        <x:v>34</x:v>
      </x:c>
      <x:c r="I474" s="128" t="n">
        <x:f>D474/SUMIF($C$4:$C$802,C474,$D$4:$D$802)</x:f>
        <x:v>0.042762136554390394</x:v>
      </x:c>
      <x:c r="J474" s="103" t="n">
        <x:f>(D474/SUMIF($A$4:$A$802,A474,$D$4:$D$802))/(SUMIF($C$4:$C$802,C474,$D$4:$D$802)/SUM($D$4:$D$802))</x:f>
        <x:v>1.0855251514626822</x:v>
      </x:c>
    </x:row>
    <x:row r="475">
      <x:c r="A475" s="101" t="str">
        <x:v>兵庫県</x:v>
      </x:c>
      <x:c r="B475" s="101" t="str">
        <x:v>N</x:v>
      </x:c>
      <x:c r="C475" s="101" t="str">
        <x:v>生活関連サービス業，娯楽業</x:v>
      </x:c>
      <x:c r="D475" s="102" t="n">
        <x:v>16729</x:v>
      </x:c>
      <x:c r="E475" s="102" t="n">
        <x:f>1+COUNTIFS($C$4:$C$802,C475,$D$4:$D$802,"&gt;"&amp;D475)</x:f>
        <x:v>9</x:v>
      </x:c>
      <x:c r="F475" s="102" t="n">
        <x:v>5465002</x:v>
      </x:c>
      <x:c r="G475" s="126" t="n">
        <x:f>D475/F475*100000</x:f>
        <x:v>306.11150736998815</x:v>
      </x:c>
      <x:c r="H475" s="127" t="n">
        <x:f>1+COUNTIFS($C$4:$C$802,C475,$G$4:$G$802,"&gt;"&amp;G475)</x:f>
        <x:v>42</x:v>
      </x:c>
      <x:c r="I475" s="128" t="n">
        <x:f>D475/SUMIF($C$4:$C$802,C475,$D$4:$D$802)</x:f>
        <x:v>0.03852752936949718</x:v>
      </x:c>
      <x:c r="J475" s="103" t="n">
        <x:f>(D475/SUMIF($A$4:$A$802,A475,$D$4:$D$802))/(SUMIF($C$4:$C$802,C475,$D$4:$D$802)/SUM($D$4:$D$802))</x:f>
        <x:v>0.978028824661532</x:v>
      </x:c>
    </x:row>
    <x:row r="476">
      <x:c r="A476" s="101" t="str">
        <x:v>兵庫県</x:v>
      </x:c>
      <x:c r="B476" s="101" t="str">
        <x:v>O</x:v>
      </x:c>
      <x:c r="C476" s="101" t="str">
        <x:v>教育，学習支援業</x:v>
      </x:c>
      <x:c r="D476" s="102" t="n">
        <x:v>7888</x:v>
      </x:c>
      <x:c r="E476" s="102" t="n">
        <x:f>1+COUNTIFS($C$4:$C$802,C476,$D$4:$D$802,"&gt;"&amp;D476)</x:f>
        <x:v>6</x:v>
      </x:c>
      <x:c r="F476" s="102" t="n">
        <x:v>5465002</x:v>
      </x:c>
      <x:c r="G476" s="126" t="n">
        <x:f>D476/F476*100000</x:f>
        <x:v>144.33663519244823</x:v>
      </x:c>
      <x:c r="H476" s="127" t="n">
        <x:f>1+COUNTIFS($C$4:$C$802,C476,$G$4:$G$802,"&gt;"&amp;G476)</x:f>
        <x:v>10</x:v>
      </x:c>
      <x:c r="I476" s="128" t="n">
        <x:f>D476/SUMIF($C$4:$C$802,C476,$D$4:$D$802)</x:f>
        <x:v>0.048286880880525476</x:v>
      </x:c>
      <x:c r="J476" s="103" t="n">
        <x:f>(D476/SUMIF($A$4:$A$802,A476,$D$4:$D$802))/(SUMIF($C$4:$C$802,C476,$D$4:$D$802)/SUM($D$4:$D$802))</x:f>
        <x:v>1.225771860459374</x:v>
      </x:c>
    </x:row>
    <x:row r="477">
      <x:c r="A477" s="101" t="str">
        <x:v>兵庫県</x:v>
      </x:c>
      <x:c r="B477" s="101" t="str">
        <x:v>P</x:v>
      </x:c>
      <x:c r="C477" s="101" t="str">
        <x:v>医療，福祉</x:v>
      </x:c>
      <x:c r="D477" s="102" t="n">
        <x:v>20248</x:v>
      </x:c>
      <x:c r="E477" s="102" t="n">
        <x:f>1+COUNTIFS($C$4:$C$802,C477,$D$4:$D$802,"&gt;"&amp;D477)</x:f>
        <x:v>7</x:v>
      </x:c>
      <x:c r="F477" s="102" t="n">
        <x:v>5465002</x:v>
      </x:c>
      <x:c r="G477" s="126" t="n">
        <x:f>D477/F477*100000</x:f>
        <x:v>370.5030666045502</x:v>
      </x:c>
      <x:c r="H477" s="127" t="n">
        <x:f>1+COUNTIFS($C$4:$C$802,C477,$G$4:$G$802,"&gt;"&amp;G477)</x:f>
        <x:v>26</x:v>
      </x:c>
      <x:c r="I477" s="128" t="n">
        <x:f>D477/SUMIF($C$4:$C$802,C477,$D$4:$D$802)</x:f>
        <x:v>0.04377652524911844</x:v>
      </x:c>
      <x:c r="J477" s="103" t="n">
        <x:f>(D477/SUMIF($A$4:$A$802,A477,$D$4:$D$802))/(SUMIF($C$4:$C$802,C477,$D$4:$D$802)/SUM($D$4:$D$802))</x:f>
        <x:v>1.111275605724623</x:v>
      </x:c>
    </x:row>
    <x:row r="478">
      <x:c r="A478" s="101" t="str">
        <x:v>兵庫県</x:v>
      </x:c>
      <x:c r="B478" s="101" t="str">
        <x:v>Q</x:v>
      </x:c>
      <x:c r="C478" s="101" t="str">
        <x:v>複合サービス事業</x:v>
      </x:c>
      <x:c r="D478" s="102" t="n">
        <x:v>1270</x:v>
      </x:c>
      <x:c r="E478" s="102" t="n">
        <x:f>1+COUNTIFS($C$4:$C$802,C478,$D$4:$D$802,"&gt;"&amp;D478)</x:f>
        <x:v>5</x:v>
      </x:c>
      <x:c r="F478" s="102" t="n">
        <x:v>5465002</x:v>
      </x:c>
      <x:c r="G478" s="126" t="n">
        <x:f>D478/F478*100000</x:f>
        <x:v>23.23878381014316</x:v>
      </x:c>
      <x:c r="H478" s="127" t="n">
        <x:f>1+COUNTIFS($C$4:$C$802,C478,$G$4:$G$802,"&gt;"&amp;G478)</x:f>
        <x:v>37</x:v>
      </x:c>
      <x:c r="I478" s="128" t="n">
        <x:f>D478/SUMIF($C$4:$C$802,C478,$D$4:$D$802)</x:f>
        <x:v>0.039525691699604744</x:v>
      </x:c>
      <x:c r="J478" s="103" t="n">
        <x:f>(D478/SUMIF($A$4:$A$802,A478,$D$4:$D$802))/(SUMIF($C$4:$C$802,C478,$D$4:$D$802)/SUM($D$4:$D$802))</x:f>
        <x:v>1.003367369502391</x:v>
      </x:c>
    </x:row>
    <x:row r="479">
      <x:c r="A479" s="101" t="str">
        <x:v>兵庫県</x:v>
      </x:c>
      <x:c r="B479" s="101" t="str">
        <x:v>R</x:v>
      </x:c>
      <x:c r="C479" s="101" t="str">
        <x:v>サービス業（他に分類されないもの）</x:v>
      </x:c>
      <x:c r="D479" s="102" t="n">
        <x:v>14865</x:v>
      </x:c>
      <x:c r="E479" s="102" t="n">
        <x:f>1+COUNTIFS($C$4:$C$802,C479,$D$4:$D$802,"&gt;"&amp;D479)</x:f>
        <x:v>7</x:v>
      </x:c>
      <x:c r="F479" s="102" t="n">
        <x:v>5465002</x:v>
      </x:c>
      <x:c r="G479" s="126" t="n">
        <x:f>D479/F479*100000</x:f>
        <x:v>272.0035601084867</x:v>
      </x:c>
      <x:c r="H479" s="127" t="n">
        <x:f>1+COUNTIFS($C$4:$C$802,C479,$G$4:$G$802,"&gt;"&amp;G479)</x:f>
        <x:v>41</x:v>
      </x:c>
      <x:c r="I479" s="128" t="n">
        <x:f>D479/SUMIF($C$4:$C$802,C479,$D$4:$D$802)</x:f>
        <x:v>0.0402614216222658</x:v>
      </x:c>
      <x:c r="J479" s="103" t="n">
        <x:f>(D479/SUMIF($A$4:$A$802,A479,$D$4:$D$802))/(SUMIF($C$4:$C$802,C479,$D$4:$D$802)/SUM($D$4:$D$802))</x:f>
        <x:v>1.022044016650656</x:v>
      </x:c>
    </x:row>
    <x:row r="480">
      <x:c r="A480" s="101" t="str">
        <x:v>奈良県</x:v>
      </x:c>
      <x:c r="B480" s="101" t="str">
        <x:v>AB</x:v>
      </x:c>
      <x:c r="C480" s="101" t="str">
        <x:v>農林漁業</x:v>
      </x:c>
      <x:c r="D480" s="102" t="n">
        <x:v>219</x:v>
      </x:c>
      <x:c r="E480" s="102" t="n">
        <x:f>1+COUNTIFS($C$4:$C$802,C480,$D$4:$D$802,"&gt;"&amp;D480)</x:f>
        <x:v>47</x:v>
      </x:c>
      <x:c r="F480" s="102" t="n">
        <x:v>1324473</x:v>
      </x:c>
      <x:c r="G480" s="126" t="n">
        <x:f>D480/F480*100000</x:f>
        <x:v>16.5348784006922</x:v>
      </x:c>
      <x:c r="H480" s="127" t="n">
        <x:f>1+COUNTIFS($C$4:$C$802,C480,$G$4:$G$802,"&gt;"&amp;G480)</x:f>
        <x:v>42</x:v>
      </x:c>
      <x:c r="I480" s="128" t="n">
        <x:f>D480/SUMIF($C$4:$C$802,C480,$D$4:$D$802)</x:f>
        <x:v>0.005158038532196524</x:v>
      </x:c>
      <x:c r="J480" s="103" t="n">
        <x:f>(D480/SUMIF($A$4:$A$802,A480,$D$4:$D$802))/(SUMIF($C$4:$C$802,C480,$D$4:$D$802)/SUM($D$4:$D$802))</x:f>
        <x:v>0.5834449603675231</x:v>
      </x:c>
    </x:row>
    <x:row r="481">
      <x:c r="A481" s="101" t="str">
        <x:v>奈良県</x:v>
      </x:c>
      <x:c r="B481" s="101" t="str">
        <x:v>C</x:v>
      </x:c>
      <x:c r="C481" s="101" t="str">
        <x:v>鉱業，採石業，砂利採取業</x:v>
      </x:c>
      <x:c r="D481" s="102" t="n">
        <x:v>6</x:v>
      </x:c>
      <x:c r="E481" s="102" t="n">
        <x:f>1+COUNTIFS($C$4:$C$802,C481,$D$4:$D$802,"&gt;"&amp;D481)</x:f>
        <x:v>46</x:v>
      </x:c>
      <x:c r="F481" s="102" t="n">
        <x:v>1324473</x:v>
      </x:c>
      <x:c r="G481" s="126" t="n">
        <x:f>D481/F481*100000</x:f>
        <x:v>0.45301036714225207</x:v>
      </x:c>
      <x:c r="H481" s="127" t="n">
        <x:f>1+COUNTIFS($C$4:$C$802,C481,$G$4:$G$802,"&gt;"&amp;G481)</x:f>
        <x:v>43</x:v>
      </x:c>
      <x:c r="I481" s="128" t="n">
        <x:f>D481/SUMIF($C$4:$C$802,C481,$D$4:$D$802)</x:f>
        <x:v>0.0032171581769436996</x:v>
      </x:c>
      <x:c r="J481" s="103" t="n">
        <x:f>(D481/SUMIF($A$4:$A$802,A481,$D$4:$D$802))/(SUMIF($C$4:$C$802,C481,$D$4:$D$802)/SUM($D$4:$D$802))</x:f>
        <x:v>0.3639047504834448</x:v>
      </x:c>
    </x:row>
    <x:row r="482">
      <x:c r="A482" s="101" t="str">
        <x:v>奈良県</x:v>
      </x:c>
      <x:c r="B482" s="101" t="str">
        <x:v>D</x:v>
      </x:c>
      <x:c r="C482" s="101" t="str">
        <x:v>建設業</x:v>
      </x:c>
      <x:c r="D482" s="102" t="n">
        <x:v>3574</x:v>
      </x:c>
      <x:c r="E482" s="102" t="n">
        <x:f>1+COUNTIFS($C$4:$C$802,C482,$D$4:$D$802,"&gt;"&amp;D482)</x:f>
        <x:v>42</x:v>
      </x:c>
      <x:c r="F482" s="102" t="n">
        <x:v>1324473</x:v>
      </x:c>
      <x:c r="G482" s="126" t="n">
        <x:f>D482/F482*100000</x:f>
        <x:v>269.8431753610682</x:v>
      </x:c>
      <x:c r="H482" s="127" t="n">
        <x:f>1+COUNTIFS($C$4:$C$802,C482,$G$4:$G$802,"&gt;"&amp;G482)</x:f>
        <x:v>47</x:v>
      </x:c>
      <x:c r="I482" s="128" t="n">
        <x:f>D482/SUMIF($C$4:$C$802,C482,$D$4:$D$802)</x:f>
        <x:v>0.007367021550702382</x:v>
      </x:c>
      <x:c r="J482" s="103" t="n">
        <x:f>(D482/SUMIF($A$4:$A$802,A482,$D$4:$D$802))/(SUMIF($C$4:$C$802,C482,$D$4:$D$802)/SUM($D$4:$D$802))</x:f>
        <x:v>0.8333112616058437</x:v>
      </x:c>
    </x:row>
    <x:row r="483">
      <x:c r="A483" s="101" t="str">
        <x:v>奈良県</x:v>
      </x:c>
      <x:c r="B483" s="101" t="str">
        <x:v>E</x:v>
      </x:c>
      <x:c r="C483" s="101" t="str">
        <x:v>製造業</x:v>
      </x:c>
      <x:c r="D483" s="102" t="n">
        <x:v>4228</x:v>
      </x:c>
      <x:c r="E483" s="102" t="n">
        <x:f>1+COUNTIFS($C$4:$C$802,C483,$D$4:$D$802,"&gt;"&amp;D483)</x:f>
        <x:v>30</x:v>
      </x:c>
      <x:c r="F483" s="102" t="n">
        <x:v>1324473</x:v>
      </x:c>
      <x:c r="G483" s="126" t="n">
        <x:f>D483/F483*100000</x:f>
        <x:v>319.2213053795736</x:v>
      </x:c>
      <x:c r="H483" s="127" t="n">
        <x:f>1+COUNTIFS($C$4:$C$802,C483,$G$4:$G$802,"&gt;"&amp;G483)</x:f>
        <x:v>28</x:v>
      </x:c>
      <x:c r="I483" s="128" t="n">
        <x:f>D483/SUMIF($C$4:$C$802,C483,$D$4:$D$802)</x:f>
        <x:v>0.01024679060727018</x:v>
      </x:c>
      <x:c r="J483" s="103" t="n">
        <x:f>(D483/SUMIF($A$4:$A$802,A483,$D$4:$D$802))/(SUMIF($C$4:$C$802,C483,$D$4:$D$802)/SUM($D$4:$D$802))</x:f>
        <x:v>1.1590526713663714</x:v>
      </x:c>
    </x:row>
    <x:row r="484">
      <x:c r="A484" s="101" t="str">
        <x:v>奈良県</x:v>
      </x:c>
      <x:c r="B484" s="101" t="str">
        <x:v>F</x:v>
      </x:c>
      <x:c r="C484" s="101" t="str">
        <x:v>電気・ガス・熱供給・水道業</x:v>
      </x:c>
      <x:c r="D484" s="102" t="n">
        <x:v>62</x:v>
      </x:c>
      <x:c r="E484" s="102" t="n">
        <x:f>1+COUNTIFS($C$4:$C$802,C484,$D$4:$D$802,"&gt;"&amp;D484)</x:f>
        <x:v>44</x:v>
      </x:c>
      <x:c r="F484" s="102" t="n">
        <x:v>1324473</x:v>
      </x:c>
      <x:c r="G484" s="126" t="n">
        <x:f>D484/F484*100000</x:f>
        <x:v>4.681107127136604</x:v>
      </x:c>
      <x:c r="H484" s="127" t="n">
        <x:f>1+COUNTIFS($C$4:$C$802,C484,$G$4:$G$802,"&gt;"&amp;G484)</x:f>
        <x:v>42</x:v>
      </x:c>
      <x:c r="I484" s="128" t="n">
        <x:f>D484/SUMIF($C$4:$C$802,C484,$D$4:$D$802)</x:f>
        <x:v>0.006784112047269942</x:v>
      </x:c>
      <x:c r="J484" s="103" t="n">
        <x:f>(D484/SUMIF($A$4:$A$802,A484,$D$4:$D$802))/(SUMIF($C$4:$C$802,C484,$D$4:$D$802)/SUM($D$4:$D$802))</x:f>
        <x:v>0.7673761953970296</x:v>
      </x:c>
    </x:row>
    <x:row r="485">
      <x:c r="A485" s="101" t="str">
        <x:v>奈良県</x:v>
      </x:c>
      <x:c r="B485" s="101" t="str">
        <x:v>G</x:v>
      </x:c>
      <x:c r="C485" s="101" t="str">
        <x:v>情報通信業</x:v>
      </x:c>
      <x:c r="D485" s="102" t="n">
        <x:v>334</x:v>
      </x:c>
      <x:c r="E485" s="102" t="n">
        <x:f>1+COUNTIFS($C$4:$C$802,C485,$D$4:$D$802,"&gt;"&amp;D485)</x:f>
        <x:v>40</x:v>
      </x:c>
      <x:c r="F485" s="102" t="n">
        <x:v>1324473</x:v>
      </x:c>
      <x:c r="G485" s="126" t="n">
        <x:f>D485/F485*100000</x:f>
        <x:v>25.21757710425203</x:v>
      </x:c>
      <x:c r="H485" s="127" t="n">
        <x:f>1+COUNTIFS($C$4:$C$802,C485,$G$4:$G$802,"&gt;"&amp;G485)</x:f>
        <x:v>47</x:v>
      </x:c>
      <x:c r="I485" s="128" t="n">
        <x:f>D485/SUMIF($C$4:$C$802,C485,$D$4:$D$802)</x:f>
        <x:v>0.004362648414947949</x:v>
      </x:c>
      <x:c r="J485" s="103" t="n">
        <x:f>(D485/SUMIF($A$4:$A$802,A485,$D$4:$D$802))/(SUMIF($C$4:$C$802,C485,$D$4:$D$802)/SUM($D$4:$D$802))</x:f>
        <x:v>0.49347542009788226</x:v>
      </x:c>
    </x:row>
    <x:row r="486">
      <x:c r="A486" s="101" t="str">
        <x:v>奈良県</x:v>
      </x:c>
      <x:c r="B486" s="101" t="str">
        <x:v>H</x:v>
      </x:c>
      <x:c r="C486" s="101" t="str">
        <x:v>運輸業，郵便業</x:v>
      </x:c>
      <x:c r="D486" s="102" t="n">
        <x:v>774</x:v>
      </x:c>
      <x:c r="E486" s="102" t="n">
        <x:f>1+COUNTIFS($C$4:$C$802,C486,$D$4:$D$802,"&gt;"&amp;D486)</x:f>
        <x:v>43</x:v>
      </x:c>
      <x:c r="F486" s="102" t="n">
        <x:v>1324473</x:v>
      </x:c>
      <x:c r="G486" s="126" t="n">
        <x:f>D486/F486*100000</x:f>
        <x:v>58.43833736135051</x:v>
      </x:c>
      <x:c r="H486" s="127" t="n">
        <x:f>1+COUNTIFS($C$4:$C$802,C486,$G$4:$G$802,"&gt;"&amp;G486)</x:f>
        <x:v>47</x:v>
      </x:c>
      <x:c r="I486" s="128" t="n">
        <x:f>D486/SUMIF($C$4:$C$802,C486,$D$4:$D$802)</x:f>
        <x:v>0.006036311454953831</x:v>
      </x:c>
      <x:c r="J486" s="103" t="n">
        <x:f>(D486/SUMIF($A$4:$A$802,A486,$D$4:$D$802))/(SUMIF($C$4:$C$802,C486,$D$4:$D$802)/SUM($D$4:$D$802))</x:f>
        <x:v>0.6827896836400327</x:v>
      </x:c>
    </x:row>
    <x:row r="487">
      <x:c r="A487" s="101" t="str">
        <x:v>奈良県</x:v>
      </x:c>
      <x:c r="B487" s="101" t="str">
        <x:v>I</x:v>
      </x:c>
      <x:c r="C487" s="101" t="str">
        <x:v>卸売業，小売業</x:v>
      </x:c>
      <x:c r="D487" s="102" t="n">
        <x:v>10853</x:v>
      </x:c>
      <x:c r="E487" s="102" t="n">
        <x:f>1+COUNTIFS($C$4:$C$802,C487,$D$4:$D$802,"&gt;"&amp;D487)</x:f>
        <x:v>40</x:v>
      </x:c>
      <x:c r="F487" s="102" t="n">
        <x:v>1324473</x:v>
      </x:c>
      <x:c r="G487" s="126" t="n">
        <x:f>D487/F487*100000</x:f>
        <x:v>819.4202524324769</x:v>
      </x:c>
      <x:c r="H487" s="127" t="n">
        <x:f>1+COUNTIFS($C$4:$C$802,C487,$G$4:$G$802,"&gt;"&amp;G487)</x:f>
        <x:v>44</x:v>
      </x:c>
      <x:c r="I487" s="128" t="n">
        <x:f>D487/SUMIF($C$4:$C$802,C487,$D$4:$D$802)</x:f>
        <x:v>0.008831331575692478</x:v>
      </x:c>
      <x:c r="J487" s="103" t="n">
        <x:f>(D487/SUMIF($A$4:$A$802,A487,$D$4:$D$802))/(SUMIF($C$4:$C$802,C487,$D$4:$D$802)/SUM($D$4:$D$802))</x:f>
        <x:v>0.9989448254428117</x:v>
      </x:c>
    </x:row>
    <x:row r="488">
      <x:c r="A488" s="101" t="str">
        <x:v>奈良県</x:v>
      </x:c>
      <x:c r="B488" s="101" t="str">
        <x:v>J</x:v>
      </x:c>
      <x:c r="C488" s="101" t="str">
        <x:v>金融業，保険業</x:v>
      </x:c>
      <x:c r="D488" s="102" t="n">
        <x:v>762</x:v>
      </x:c>
      <x:c r="E488" s="102" t="n">
        <x:f>1+COUNTIFS($C$4:$C$802,C488,$D$4:$D$802,"&gt;"&amp;D488)</x:f>
        <x:v>38</x:v>
      </x:c>
      <x:c r="F488" s="102" t="n">
        <x:v>1324473</x:v>
      </x:c>
      <x:c r="G488" s="126" t="n">
        <x:f>D488/F488*100000</x:f>
        <x:v>57.53231662706601</x:v>
      </x:c>
      <x:c r="H488" s="127" t="n">
        <x:f>1+COUNTIFS($C$4:$C$802,C488,$G$4:$G$802,"&gt;"&amp;G488)</x:f>
        <x:v>41</x:v>
      </x:c>
      <x:c r="I488" s="128" t="n">
        <x:f>D488/SUMIF($C$4:$C$802,C488,$D$4:$D$802)</x:f>
        <x:v>0.009087439774841386</x:v>
      </x:c>
      <x:c r="J488" s="103" t="n">
        <x:f>(D488/SUMIF($A$4:$A$802,A488,$D$4:$D$802))/(SUMIF($C$4:$C$802,C488,$D$4:$D$802)/SUM($D$4:$D$802))</x:f>
        <x:v>1.0279141782635635</x:v>
      </x:c>
    </x:row>
    <x:row r="489">
      <x:c r="A489" s="101" t="str">
        <x:v>奈良県</x:v>
      </x:c>
      <x:c r="B489" s="101" t="str">
        <x:v>K</x:v>
      </x:c>
      <x:c r="C489" s="101" t="str">
        <x:v>不動産業，物品賃貸業</x:v>
      </x:c>
      <x:c r="D489" s="102" t="n">
        <x:v>3175</x:v>
      </x:c>
      <x:c r="E489" s="102" t="n">
        <x:f>1+COUNTIFS($C$4:$C$802,C489,$D$4:$D$802,"&gt;"&amp;D489)</x:f>
        <x:v>29</x:v>
      </x:c>
      <x:c r="F489" s="102" t="n">
        <x:v>1324473</x:v>
      </x:c>
      <x:c r="G489" s="126" t="n">
        <x:f>D489/F489*100000</x:f>
        <x:v>239.71798594610837</x:v>
      </x:c>
      <x:c r="H489" s="127" t="n">
        <x:f>1+COUNTIFS($C$4:$C$802,C489,$G$4:$G$802,"&gt;"&amp;G489)</x:f>
        <x:v>30</x:v>
      </x:c>
      <x:c r="I489" s="128" t="n">
        <x:f>D489/SUMIF($C$4:$C$802,C489,$D$4:$D$802)</x:f>
        <x:v>0.008478966821201956</x:v>
      </x:c>
      <x:c r="J489" s="103" t="n">
        <x:f>(D489/SUMIF($A$4:$A$802,A489,$D$4:$D$802))/(SUMIF($C$4:$C$802,C489,$D$4:$D$802)/SUM($D$4:$D$802))</x:f>
        <x:v>0.959087534936863</x:v>
      </x:c>
    </x:row>
    <x:row r="490">
      <x:c r="A490" s="101" t="str">
        <x:v>奈良県</x:v>
      </x:c>
      <x:c r="B490" s="101" t="str">
        <x:v>L</x:v>
      </x:c>
      <x:c r="C490" s="101" t="str">
        <x:v>学術研究，専門・技術サービス業</x:v>
      </x:c>
      <x:c r="D490" s="102" t="n">
        <x:v>1769</x:v>
      </x:c>
      <x:c r="E490" s="102" t="n">
        <x:f>1+COUNTIFS($C$4:$C$802,C490,$D$4:$D$802,"&gt;"&amp;D490)</x:f>
        <x:v>38</x:v>
      </x:c>
      <x:c r="F490" s="102" t="n">
        <x:v>1324473</x:v>
      </x:c>
      <x:c r="G490" s="126" t="n">
        <x:f>D490/F490*100000</x:f>
        <x:v>133.5625565791073</x:v>
      </x:c>
      <x:c r="H490" s="127" t="n">
        <x:f>1+COUNTIFS($C$4:$C$802,C490,$G$4:$G$802,"&gt;"&amp;G490)</x:f>
        <x:v>45</x:v>
      </x:c>
      <x:c r="I490" s="128" t="n">
        <x:f>D490/SUMIF($C$4:$C$802,C490,$D$4:$D$802)</x:f>
        <x:v>0.00701038281683443</x:v>
      </x:c>
      <x:c r="J490" s="103" t="n">
        <x:f>(D490/SUMIF($A$4:$A$802,A490,$D$4:$D$802))/(SUMIF($C$4:$C$802,C490,$D$4:$D$802)/SUM($D$4:$D$802))</x:f>
        <x:v>0.7929705253650655</x:v>
      </x:c>
    </x:row>
    <x:row r="491">
      <x:c r="A491" s="101" t="str">
        <x:v>奈良県</x:v>
      </x:c>
      <x:c r="B491" s="101" t="str">
        <x:v>M</x:v>
      </x:c>
      <x:c r="C491" s="101" t="str">
        <x:v>宿泊業，飲食サービス業</x:v>
      </x:c>
      <x:c r="D491" s="102" t="n">
        <x:v>4649</x:v>
      </x:c>
      <x:c r="E491" s="102" t="n">
        <x:f>1+COUNTIFS($C$4:$C$802,C491,$D$4:$D$802,"&gt;"&amp;D491)</x:f>
        <x:v>43</x:v>
      </x:c>
      <x:c r="F491" s="102" t="n">
        <x:v>1324473</x:v>
      </x:c>
      <x:c r="G491" s="126" t="n">
        <x:f>D491/F491*100000</x:f>
        <x:v>351.00753280738826</x:v>
      </x:c>
      <x:c r="H491" s="127" t="n">
        <x:f>1+COUNTIFS($C$4:$C$802,C491,$G$4:$G$802,"&gt;"&amp;G491)</x:f>
        <x:v>45</x:v>
      </x:c>
      <x:c r="I491" s="128" t="n">
        <x:f>D491/SUMIF($C$4:$C$802,C491,$D$4:$D$802)</x:f>
        <x:v>0.007760517345565872</x:v>
      </x:c>
      <x:c r="J491" s="103" t="n">
        <x:f>(D491/SUMIF($A$4:$A$802,A491,$D$4:$D$802))/(SUMIF($C$4:$C$802,C491,$D$4:$D$802)/SUM($D$4:$D$802))</x:f>
        <x:v>0.8778210373676678</x:v>
      </x:c>
    </x:row>
    <x:row r="492">
      <x:c r="A492" s="101" t="str">
        <x:v>奈良県</x:v>
      </x:c>
      <x:c r="B492" s="101" t="str">
        <x:v>N</x:v>
      </x:c>
      <x:c r="C492" s="101" t="str">
        <x:v>生活関連サービス業，娯楽業</x:v>
      </x:c>
      <x:c r="D492" s="102" t="n">
        <x:v>3872</x:v>
      </x:c>
      <x:c r="E492" s="102" t="n">
        <x:f>1+COUNTIFS($C$4:$C$802,C492,$D$4:$D$802,"&gt;"&amp;D492)</x:f>
        <x:v>39</x:v>
      </x:c>
      <x:c r="F492" s="102" t="n">
        <x:v>1324473</x:v>
      </x:c>
      <x:c r="G492" s="126" t="n">
        <x:f>D492/F492*100000</x:f>
        <x:v>292.34269026246665</x:v>
      </x:c>
      <x:c r="H492" s="127" t="n">
        <x:f>1+COUNTIFS($C$4:$C$802,C492,$G$4:$G$802,"&gt;"&amp;G492)</x:f>
        <x:v>44</x:v>
      </x:c>
      <x:c r="I492" s="128" t="n">
        <x:f>D492/SUMIF($C$4:$C$802,C492,$D$4:$D$802)</x:f>
        <x:v>0.008917364679221296</x:v>
      </x:c>
      <x:c r="J492" s="103" t="n">
        <x:f>(D492/SUMIF($A$4:$A$802,A492,$D$4:$D$802))/(SUMIF($C$4:$C$802,C492,$D$4:$D$802)/SUM($D$4:$D$802))</x:f>
        <x:v>1.0086763503946603</x:v>
      </x:c>
    </x:row>
    <x:row r="493">
      <x:c r="A493" s="101" t="str">
        <x:v>奈良県</x:v>
      </x:c>
      <x:c r="B493" s="101" t="str">
        <x:v>O</x:v>
      </x:c>
      <x:c r="C493" s="101" t="str">
        <x:v>教育，学習支援業</x:v>
      </x:c>
      <x:c r="D493" s="102" t="n">
        <x:v>1807</x:v>
      </x:c>
      <x:c r="E493" s="102" t="n">
        <x:f>1+COUNTIFS($C$4:$C$802,C493,$D$4:$D$802,"&gt;"&amp;D493)</x:f>
        <x:v>28</x:v>
      </x:c>
      <x:c r="F493" s="102" t="n">
        <x:v>1324473</x:v>
      </x:c>
      <x:c r="G493" s="126" t="n">
        <x:f>D493/F493*100000</x:f>
        <x:v>136.4316222376749</x:v>
      </x:c>
      <x:c r="H493" s="127" t="n">
        <x:f>1+COUNTIFS($C$4:$C$802,C493,$G$4:$G$802,"&gt;"&amp;G493)</x:f>
        <x:v>19</x:v>
      </x:c>
      <x:c r="I493" s="128" t="n">
        <x:f>D493/SUMIF($C$4:$C$802,C493,$D$4:$D$802)</x:f>
        <x:v>0.011061662493801918</x:v>
      </x:c>
      <x:c r="J493" s="103" t="n">
        <x:f>(D493/SUMIF($A$4:$A$802,A493,$D$4:$D$802))/(SUMIF($C$4:$C$802,C493,$D$4:$D$802)/SUM($D$4:$D$802))</x:f>
        <x:v>1.2512258671605598</x:v>
      </x:c>
    </x:row>
    <x:row r="494">
      <x:c r="A494" s="101" t="str">
        <x:v>奈良県</x:v>
      </x:c>
      <x:c r="B494" s="101" t="str">
        <x:v>P</x:v>
      </x:c>
      <x:c r="C494" s="101" t="str">
        <x:v>医療，福祉</x:v>
      </x:c>
      <x:c r="D494" s="102" t="n">
        <x:v>4764</x:v>
      </x:c>
      <x:c r="E494" s="102" t="n">
        <x:f>1+COUNTIFS($C$4:$C$802,C494,$D$4:$D$802,"&gt;"&amp;D494)</x:f>
        <x:v>32</x:v>
      </x:c>
      <x:c r="F494" s="102" t="n">
        <x:v>1324473</x:v>
      </x:c>
      <x:c r="G494" s="126" t="n">
        <x:f>D494/F494*100000</x:f>
        <x:v>359.69023151094814</x:v>
      </x:c>
      <x:c r="H494" s="127" t="n">
        <x:f>1+COUNTIFS($C$4:$C$802,C494,$G$4:$G$802,"&gt;"&amp;G494)</x:f>
        <x:v>32</x:v>
      </x:c>
      <x:c r="I494" s="128" t="n">
        <x:f>D494/SUMIF($C$4:$C$802,C494,$D$4:$D$802)</x:f>
        <x:v>0.010299850172204673</x:v>
      </x:c>
      <x:c r="J494" s="103" t="n">
        <x:f>(D494/SUMIF($A$4:$A$802,A494,$D$4:$D$802))/(SUMIF($C$4:$C$802,C494,$D$4:$D$802)/SUM($D$4:$D$802))</x:f>
        <x:v>1.165054436488343</x:v>
      </x:c>
    </x:row>
    <x:row r="495">
      <x:c r="A495" s="101" t="str">
        <x:v>奈良県</x:v>
      </x:c>
      <x:c r="B495" s="101" t="str">
        <x:v>Q</x:v>
      </x:c>
      <x:c r="C495" s="101" t="str">
        <x:v>複合サービス事業</x:v>
      </x:c>
      <x:c r="D495" s="102" t="n">
        <x:v>313</x:v>
      </x:c>
      <x:c r="E495" s="102" t="n">
        <x:f>1+COUNTIFS($C$4:$C$802,C495,$D$4:$D$802,"&gt;"&amp;D495)</x:f>
        <x:v>46</x:v>
      </x:c>
      <x:c r="F495" s="102" t="n">
        <x:v>1324473</x:v>
      </x:c>
      <x:c r="G495" s="126" t="n">
        <x:f>D495/F495*100000</x:f>
        <x:v>23.63204081925415</x:v>
      </x:c>
      <x:c r="H495" s="127" t="n">
        <x:f>1+COUNTIFS($C$4:$C$802,C495,$G$4:$G$802,"&gt;"&amp;G495)</x:f>
        <x:v>36</x:v>
      </x:c>
      <x:c r="I495" s="128" t="n">
        <x:f>D495/SUMIF($C$4:$C$802,C495,$D$4:$D$802)</x:f>
        <x:v>0.00974137126139865</x:v>
      </x:c>
      <x:c r="J495" s="103" t="n">
        <x:f>(D495/SUMIF($A$4:$A$802,A495,$D$4:$D$802))/(SUMIF($C$4:$C$802,C495,$D$4:$D$802)/SUM($D$4:$D$802))</x:f>
        <x:v>1.1018828056547596</x:v>
      </x:c>
    </x:row>
    <x:row r="496">
      <x:c r="A496" s="101" t="str">
        <x:v>奈良県</x:v>
      </x:c>
      <x:c r="B496" s="101" t="str">
        <x:v>R</x:v>
      </x:c>
      <x:c r="C496" s="101" t="str">
        <x:v>サービス業（他に分類されないもの）</x:v>
      </x:c>
      <x:c r="D496" s="102" t="n">
        <x:v>4422</x:v>
      </x:c>
      <x:c r="E496" s="102" t="n">
        <x:f>1+COUNTIFS($C$4:$C$802,C496,$D$4:$D$802,"&gt;"&amp;D496)</x:f>
        <x:v>28</x:v>
      </x:c>
      <x:c r="F496" s="102" t="n">
        <x:v>1324473</x:v>
      </x:c>
      <x:c r="G496" s="126" t="n">
        <x:f>D496/F496*100000</x:f>
        <x:v>333.86864058383975</x:v>
      </x:c>
      <x:c r="H496" s="127" t="n">
        <x:f>1+COUNTIFS($C$4:$C$802,C496,$G$4:$G$802,"&gt;"&amp;G496)</x:f>
        <x:v>22</x:v>
      </x:c>
      <x:c r="I496" s="128" t="n">
        <x:f>D496/SUMIF($C$4:$C$802,C496,$D$4:$D$802)</x:f>
        <x:v>0.01197685882365687</x:v>
      </x:c>
      <x:c r="J496" s="103" t="n">
        <x:f>(D496/SUMIF($A$4:$A$802,A496,$D$4:$D$802))/(SUMIF($C$4:$C$802,C496,$D$4:$D$802)/SUM($D$4:$D$802))</x:f>
        <x:v>1.3547471346089708</x:v>
      </x:c>
    </x:row>
    <x:row r="497">
      <x:c r="A497" s="101" t="str">
        <x:v>和歌山県</x:v>
      </x:c>
      <x:c r="B497" s="101" t="str">
        <x:v>AB</x:v>
      </x:c>
      <x:c r="C497" s="101" t="str">
        <x:v>農林漁業</x:v>
      </x:c>
      <x:c r="D497" s="102" t="n">
        <x:v>308</x:v>
      </x:c>
      <x:c r="E497" s="102" t="n">
        <x:f>1+COUNTIFS($C$4:$C$802,C497,$D$4:$D$802,"&gt;"&amp;D497)</x:f>
        <x:v>46</x:v>
      </x:c>
      <x:c r="F497" s="102" t="n">
        <x:v>922584</x:v>
      </x:c>
      <x:c r="G497" s="126" t="n">
        <x:f>D497/F497*100000</x:f>
        <x:v>33.38449398645543</x:v>
      </x:c>
      <x:c r="H497" s="127" t="n">
        <x:f>1+COUNTIFS($C$4:$C$802,C497,$G$4:$G$802,"&gt;"&amp;G497)</x:f>
        <x:v>36</x:v>
      </x:c>
      <x:c r="I497" s="128" t="n">
        <x:f>D497/SUMIF($C$4:$C$802,C497,$D$4:$D$802)</x:f>
        <x:v>0.007254227707381412</x:v>
      </x:c>
      <x:c r="J497" s="103" t="n">
        <x:f>(D497/SUMIF($A$4:$A$802,A497,$D$4:$D$802))/(SUMIF($C$4:$C$802,C497,$D$4:$D$802)/SUM($D$4:$D$802))</x:f>
        <x:v>0.8255149104064121</x:v>
      </x:c>
    </x:row>
    <x:row r="498">
      <x:c r="A498" s="101" t="str">
        <x:v>和歌山県</x:v>
      </x:c>
      <x:c r="B498" s="101" t="str">
        <x:v>C</x:v>
      </x:c>
      <x:c r="C498" s="101" t="str">
        <x:v>鉱業，採石業，砂利採取業</x:v>
      </x:c>
      <x:c r="D498" s="102" t="n">
        <x:v>7</x:v>
      </x:c>
      <x:c r="E498" s="102" t="n">
        <x:f>1+COUNTIFS($C$4:$C$802,C498,$D$4:$D$802,"&gt;"&amp;D498)</x:f>
        <x:v>45</x:v>
      </x:c>
      <x:c r="F498" s="102" t="n">
        <x:v>922584</x:v>
      </x:c>
      <x:c r="G498" s="126" t="n">
        <x:f>D498/F498*100000</x:f>
        <x:v>0.7587384996921689</x:v>
      </x:c>
      <x:c r="H498" s="127" t="n">
        <x:f>1+COUNTIFS($C$4:$C$802,C498,$G$4:$G$802,"&gt;"&amp;G498)</x:f>
        <x:v>40</x:v>
      </x:c>
      <x:c r="I498" s="128" t="n">
        <x:f>D498/SUMIF($C$4:$C$802,C498,$D$4:$D$802)</x:f>
        <x:v>0.0037533512064343165</x:v>
      </x:c>
      <x:c r="J498" s="103" t="n">
        <x:f>(D498/SUMIF($A$4:$A$802,A498,$D$4:$D$802))/(SUMIF($C$4:$C$802,C498,$D$4:$D$802)/SUM($D$4:$D$802))</x:f>
        <x:v>0.4271229839877583</x:v>
      </x:c>
    </x:row>
    <x:row r="499">
      <x:c r="A499" s="101" t="str">
        <x:v>和歌山県</x:v>
      </x:c>
      <x:c r="B499" s="101" t="str">
        <x:v>D</x:v>
      </x:c>
      <x:c r="C499" s="101" t="str">
        <x:v>建設業</x:v>
      </x:c>
      <x:c r="D499" s="102" t="n">
        <x:v>4235</x:v>
      </x:c>
      <x:c r="E499" s="102" t="n">
        <x:f>1+COUNTIFS($C$4:$C$802,C499,$D$4:$D$802,"&gt;"&amp;D499)</x:f>
        <x:v>40</x:v>
      </x:c>
      <x:c r="F499" s="102" t="n">
        <x:v>922584</x:v>
      </x:c>
      <x:c r="G499" s="126" t="n">
        <x:f>D499/F499*100000</x:f>
        <x:v>459.03679231376225</x:v>
      </x:c>
      <x:c r="H499" s="127" t="n">
        <x:f>1+COUNTIFS($C$4:$C$802,C499,$G$4:$G$802,"&gt;"&amp;G499)</x:f>
        <x:v>14</x:v>
      </x:c>
      <x:c r="I499" s="128" t="n">
        <x:f>D499/SUMIF($C$4:$C$802,C499,$D$4:$D$802)</x:f>
        <x:v>0.00872952889401919</x:v>
      </x:c>
      <x:c r="J499" s="103" t="n">
        <x:f>(D499/SUMIF($A$4:$A$802,A499,$D$4:$D$802))/(SUMIF($C$4:$C$802,C499,$D$4:$D$802)/SUM($D$4:$D$802))</x:f>
        <x:v>0.9934008902841216</x:v>
      </x:c>
    </x:row>
    <x:row r="500">
      <x:c r="A500" s="101" t="str">
        <x:v>和歌山県</x:v>
      </x:c>
      <x:c r="B500" s="101" t="str">
        <x:v>E</x:v>
      </x:c>
      <x:c r="C500" s="101" t="str">
        <x:v>製造業</x:v>
      </x:c>
      <x:c r="D500" s="102" t="n">
        <x:v>3526</x:v>
      </x:c>
      <x:c r="E500" s="102" t="n">
        <x:f>1+COUNTIFS($C$4:$C$802,C500,$D$4:$D$802,"&gt;"&amp;D500)</x:f>
        <x:v>35</x:v>
      </x:c>
      <x:c r="F500" s="102" t="n">
        <x:v>922584</x:v>
      </x:c>
      <x:c r="G500" s="126" t="n">
        <x:f>D500/F500*100000</x:f>
        <x:v>382.18742141636966</x:v>
      </x:c>
      <x:c r="H500" s="127" t="n">
        <x:f>1+COUNTIFS($C$4:$C$802,C500,$G$4:$G$802,"&gt;"&amp;G500)</x:f>
        <x:v>17</x:v>
      </x:c>
      <x:c r="I500" s="128" t="n">
        <x:f>D500/SUMIF($C$4:$C$802,C500,$D$4:$D$802)</x:f>
        <x:v>0.008545454986100912</x:v>
      </x:c>
      <x:c r="J500" s="103" t="n">
        <x:f>(D500/SUMIF($A$4:$A$802,A500,$D$4:$D$802))/(SUMIF($C$4:$C$802,C500,$D$4:$D$802)/SUM($D$4:$D$802))</x:f>
        <x:v>0.9724536907016359</x:v>
      </x:c>
    </x:row>
    <x:row r="501">
      <x:c r="A501" s="101" t="str">
        <x:v>和歌山県</x:v>
      </x:c>
      <x:c r="B501" s="101" t="str">
        <x:v>F</x:v>
      </x:c>
      <x:c r="C501" s="101" t="str">
        <x:v>電気・ガス・熱供給・水道業</x:v>
      </x:c>
      <x:c r="D501" s="102" t="n">
        <x:v>68</x:v>
      </x:c>
      <x:c r="E501" s="102" t="n">
        <x:f>1+COUNTIFS($C$4:$C$802,C501,$D$4:$D$802,"&gt;"&amp;D501)</x:f>
        <x:v>42</x:v>
      </x:c>
      <x:c r="F501" s="102" t="n">
        <x:v>922584</x:v>
      </x:c>
      <x:c r="G501" s="126" t="n">
        <x:f>D501/F501*100000</x:f>
        <x:v>7.370602568438213</x:v>
      </x:c>
      <x:c r="H501" s="127" t="n">
        <x:f>1+COUNTIFS($C$4:$C$802,C501,$G$4:$G$802,"&gt;"&amp;G501)</x:f>
        <x:v>31</x:v>
      </x:c>
      <x:c r="I501" s="128" t="n">
        <x:f>D501/SUMIF($C$4:$C$802,C501,$D$4:$D$802)</x:f>
        <x:v>0.007440639019586388</x:v>
      </x:c>
      <x:c r="J501" s="103" t="n">
        <x:f>(D501/SUMIF($A$4:$A$802,A501,$D$4:$D$802))/(SUMIF($C$4:$C$802,C501,$D$4:$D$802)/SUM($D$4:$D$802))</x:f>
        <x:v>0.8467281013760103</x:v>
      </x:c>
    </x:row>
    <x:row r="502">
      <x:c r="A502" s="101" t="str">
        <x:v>和歌山県</x:v>
      </x:c>
      <x:c r="B502" s="101" t="str">
        <x:v>G</x:v>
      </x:c>
      <x:c r="C502" s="101" t="str">
        <x:v>情報通信業</x:v>
      </x:c>
      <x:c r="D502" s="102" t="n">
        <x:v>268</x:v>
      </x:c>
      <x:c r="E502" s="102" t="n">
        <x:f>1+COUNTIFS($C$4:$C$802,C502,$D$4:$D$802,"&gt;"&amp;D502)</x:f>
        <x:v>42</x:v>
      </x:c>
      <x:c r="F502" s="102" t="n">
        <x:v>922584</x:v>
      </x:c>
      <x:c r="G502" s="126" t="n">
        <x:f>D502/F502*100000</x:f>
        <x:v>29.048845416785895</x:v>
      </x:c>
      <x:c r="H502" s="127" t="n">
        <x:f>1+COUNTIFS($C$4:$C$802,C502,$G$4:$G$802,"&gt;"&amp;G502)</x:f>
        <x:v>42</x:v>
      </x:c>
      <x:c r="I502" s="128" t="n">
        <x:f>D502/SUMIF($C$4:$C$802,C502,$D$4:$D$802)</x:f>
        <x:v>0.003500568189239671</x:v>
      </x:c>
      <x:c r="J502" s="103" t="n">
        <x:f>(D502/SUMIF($A$4:$A$802,A502,$D$4:$D$802))/(SUMIF($C$4:$C$802,C502,$D$4:$D$802)/SUM($D$4:$D$802))</x:f>
        <x:v>0.3983568412349791</x:v>
      </x:c>
    </x:row>
    <x:row r="503">
      <x:c r="A503" s="101" t="str">
        <x:v>和歌山県</x:v>
      </x:c>
      <x:c r="B503" s="101" t="str">
        <x:v>H</x:v>
      </x:c>
      <x:c r="C503" s="101" t="str">
        <x:v>運輸業，郵便業</x:v>
      </x:c>
      <x:c r="D503" s="102" t="n">
        <x:v>922</x:v>
      </x:c>
      <x:c r="E503" s="102" t="n">
        <x:f>1+COUNTIFS($C$4:$C$802,C503,$D$4:$D$802,"&gt;"&amp;D503)</x:f>
        <x:v>37</x:v>
      </x:c>
      <x:c r="F503" s="102" t="n">
        <x:v>922584</x:v>
      </x:c>
      <x:c r="G503" s="126" t="n">
        <x:f>D503/F503*100000</x:f>
        <x:v>99.93669953088282</x:v>
      </x:c>
      <x:c r="H503" s="127" t="n">
        <x:f>1+COUNTIFS($C$4:$C$802,C503,$G$4:$G$802,"&gt;"&amp;G503)</x:f>
        <x:v>28</x:v>
      </x:c>
      <x:c r="I503" s="128" t="n">
        <x:f>D503/SUMIF($C$4:$C$802,C503,$D$4:$D$802)</x:f>
        <x:v>0.007190541552283504</x:v>
      </x:c>
      <x:c r="J503" s="103" t="n">
        <x:f>(D503/SUMIF($A$4:$A$802,A503,$D$4:$D$802))/(SUMIF($C$4:$C$802,C503,$D$4:$D$802)/SUM($D$4:$D$802))</x:f>
        <x:v>0.8182675682025986</x:v>
      </x:c>
    </x:row>
    <x:row r="504">
      <x:c r="A504" s="101" t="str">
        <x:v>和歌山県</x:v>
      </x:c>
      <x:c r="B504" s="101" t="str">
        <x:v>I</x:v>
      </x:c>
      <x:c r="C504" s="101" t="str">
        <x:v>卸売業，小売業</x:v>
      </x:c>
      <x:c r="D504" s="102" t="n">
        <x:v>11385</x:v>
      </x:c>
      <x:c r="E504" s="102" t="n">
        <x:f>1+COUNTIFS($C$4:$C$802,C504,$D$4:$D$802,"&gt;"&amp;D504)</x:f>
        <x:v>37</x:v>
      </x:c>
      <x:c r="F504" s="102" t="n">
        <x:v>922584</x:v>
      </x:c>
      <x:c r="G504" s="126" t="n">
        <x:f>D504/F504*100000</x:f>
        <x:v>1234.033974142192</x:v>
      </x:c>
      <x:c r="H504" s="127" t="n">
        <x:f>1+COUNTIFS($C$4:$C$802,C504,$G$4:$G$802,"&gt;"&amp;G504)</x:f>
        <x:v>3</x:v>
      </x:c>
      <x:c r="I504" s="128" t="n">
        <x:f>D504/SUMIF($C$4:$C$802,C504,$D$4:$D$802)</x:f>
        <x:v>0.00926423200859291</x:v>
      </x:c>
      <x:c r="J504" s="103" t="n">
        <x:f>(D504/SUMIF($A$4:$A$802,A504,$D$4:$D$802))/(SUMIF($C$4:$C$802,C504,$D$4:$D$802)/SUM($D$4:$D$802))</x:f>
        <x:v>1.0542489104354895</x:v>
      </x:c>
    </x:row>
    <x:row r="505">
      <x:c r="A505" s="101" t="str">
        <x:v>和歌山県</x:v>
      </x:c>
      <x:c r="B505" s="101" t="str">
        <x:v>J</x:v>
      </x:c>
      <x:c r="C505" s="101" t="str">
        <x:v>金融業，保険業</x:v>
      </x:c>
      <x:c r="D505" s="102" t="n">
        <x:v>723</x:v>
      </x:c>
      <x:c r="E505" s="102" t="n">
        <x:f>1+COUNTIFS($C$4:$C$802,C505,$D$4:$D$802,"&gt;"&amp;D505)</x:f>
        <x:v>41</x:v>
      </x:c>
      <x:c r="F505" s="102" t="n">
        <x:v>922584</x:v>
      </x:c>
      <x:c r="G505" s="126" t="n">
        <x:f>D505/F505*100000</x:f>
        <x:v>78.36684789677689</x:v>
      </x:c>
      <x:c r="H505" s="127" t="n">
        <x:f>1+COUNTIFS($C$4:$C$802,C505,$G$4:$G$802,"&gt;"&amp;G505)</x:f>
        <x:v>18</x:v>
      </x:c>
      <x:c r="I505" s="128" t="n">
        <x:f>D505/SUMIF($C$4:$C$802,C505,$D$4:$D$802)</x:f>
        <x:v>0.00862233458951486</x:v>
      </x:c>
      <x:c r="J505" s="103" t="n">
        <x:f>(D505/SUMIF($A$4:$A$802,A505,$D$4:$D$802))/(SUMIF($C$4:$C$802,C505,$D$4:$D$802)/SUM($D$4:$D$802))</x:f>
        <x:v>0.9812024178555642</x:v>
      </x:c>
    </x:row>
    <x:row r="506">
      <x:c r="A506" s="101" t="str">
        <x:v>和歌山県</x:v>
      </x:c>
      <x:c r="B506" s="101" t="str">
        <x:v>K</x:v>
      </x:c>
      <x:c r="C506" s="101" t="str">
        <x:v>不動産業，物品賃貸業</x:v>
      </x:c>
      <x:c r="D506" s="102" t="n">
        <x:v>2787</x:v>
      </x:c>
      <x:c r="E506" s="102" t="n">
        <x:f>1+COUNTIFS($C$4:$C$802,C506,$D$4:$D$802,"&gt;"&amp;D506)</x:f>
        <x:v>36</x:v>
      </x:c>
      <x:c r="F506" s="102" t="n">
        <x:v>922584</x:v>
      </x:c>
      <x:c r="G506" s="126" t="n">
        <x:f>D506/F506*100000</x:f>
        <x:v>302.086314091725</x:v>
      </x:c>
      <x:c r="H506" s="127" t="n">
        <x:f>1+COUNTIFS($C$4:$C$802,C506,$G$4:$G$802,"&gt;"&amp;G506)</x:f>
        <x:v>12</x:v>
      </x:c>
      <x:c r="I506" s="128" t="n">
        <x:f>D506/SUMIF($C$4:$C$802,C506,$D$4:$D$802)</x:f>
        <x:v>0.007442797017540112</x:v>
      </x:c>
      <x:c r="J506" s="103" t="n">
        <x:f>(D506/SUMIF($A$4:$A$802,A506,$D$4:$D$802))/(SUMIF($C$4:$C$802,C506,$D$4:$D$802)/SUM($D$4:$D$802))</x:f>
        <x:v>0.8469736767231437</x:v>
      </x:c>
    </x:row>
    <x:row r="507">
      <x:c r="A507" s="101" t="str">
        <x:v>和歌山県</x:v>
      </x:c>
      <x:c r="B507" s="101" t="str">
        <x:v>L</x:v>
      </x:c>
      <x:c r="C507" s="101" t="str">
        <x:v>学術研究，専門・技術サービス業</x:v>
      </x:c>
      <x:c r="D507" s="102" t="n">
        <x:v>1634</x:v>
      </x:c>
      <x:c r="E507" s="102" t="n">
        <x:f>1+COUNTIFS($C$4:$C$802,C507,$D$4:$D$802,"&gt;"&amp;D507)</x:f>
        <x:v>40</x:v>
      </x:c>
      <x:c r="F507" s="102" t="n">
        <x:v>922584</x:v>
      </x:c>
      <x:c r="G507" s="126" t="n">
        <x:f>D507/F507*100000</x:f>
        <x:v>177.11124407100058</x:v>
      </x:c>
      <x:c r="H507" s="127" t="n">
        <x:f>1+COUNTIFS($C$4:$C$802,C507,$G$4:$G$802,"&gt;"&amp;G507)</x:f>
        <x:v>26</x:v>
      </x:c>
      <x:c r="I507" s="128" t="n">
        <x:f>D507/SUMIF($C$4:$C$802,C507,$D$4:$D$802)</x:f>
        <x:v>0.006475390346358088</x:v>
      </x:c>
      <x:c r="J507" s="103" t="n">
        <x:f>(D507/SUMIF($A$4:$A$802,A507,$D$4:$D$802))/(SUMIF($C$4:$C$802,C507,$D$4:$D$802)/SUM($D$4:$D$802))</x:f>
        <x:v>0.7368849582955732</x:v>
      </x:c>
    </x:row>
    <x:row r="508">
      <x:c r="A508" s="101" t="str">
        <x:v>和歌山県</x:v>
      </x:c>
      <x:c r="B508" s="101" t="str">
        <x:v>M</x:v>
      </x:c>
      <x:c r="C508" s="101" t="str">
        <x:v>宿泊業，飲食サービス業</x:v>
      </x:c>
      <x:c r="D508" s="102" t="n">
        <x:v>5221</x:v>
      </x:c>
      <x:c r="E508" s="102" t="n">
        <x:f>1+COUNTIFS($C$4:$C$802,C508,$D$4:$D$802,"&gt;"&amp;D508)</x:f>
        <x:v>37</x:v>
      </x:c>
      <x:c r="F508" s="102" t="n">
        <x:v>922584</x:v>
      </x:c>
      <x:c r="G508" s="126" t="n">
        <x:f>D508/F508*100000</x:f>
        <x:v>565.9105295561162</x:v>
      </x:c>
      <x:c r="H508" s="127" t="n">
        <x:f>1+COUNTIFS($C$4:$C$802,C508,$G$4:$G$802,"&gt;"&amp;G508)</x:f>
        <x:v>8</x:v>
      </x:c>
      <x:c r="I508" s="128" t="n">
        <x:f>D508/SUMIF($C$4:$C$802,C508,$D$4:$D$802)</x:f>
        <x:v>0.008715349765798972</x:v>
      </x:c>
      <x:c r="J508" s="103" t="n">
        <x:f>(D508/SUMIF($A$4:$A$802,A508,$D$4:$D$802))/(SUMIF($C$4:$C$802,C508,$D$4:$D$802)/SUM($D$4:$D$802))</x:f>
        <x:v>0.9917873371624786</x:v>
      </x:c>
    </x:row>
    <x:row r="509">
      <x:c r="A509" s="101" t="str">
        <x:v>和歌山県</x:v>
      </x:c>
      <x:c r="B509" s="101" t="str">
        <x:v>N</x:v>
      </x:c>
      <x:c r="C509" s="101" t="str">
        <x:v>生活関連サービス業，娯楽業</x:v>
      </x:c>
      <x:c r="D509" s="102" t="n">
        <x:v>3959</x:v>
      </x:c>
      <x:c r="E509" s="102" t="n">
        <x:f>1+COUNTIFS($C$4:$C$802,C509,$D$4:$D$802,"&gt;"&amp;D509)</x:f>
        <x:v>38</x:v>
      </x:c>
      <x:c r="F509" s="102" t="n">
        <x:v>922584</x:v>
      </x:c>
      <x:c r="G509" s="126" t="n">
        <x:f>D509/F509*100000</x:f>
        <x:v>429.12081718304245</x:v>
      </x:c>
      <x:c r="H509" s="127" t="n">
        <x:f>1+COUNTIFS($C$4:$C$802,C509,$G$4:$G$802,"&gt;"&amp;G509)</x:f>
        <x:v>12</x:v>
      </x:c>
      <x:c r="I509" s="128" t="n">
        <x:f>D509/SUMIF($C$4:$C$802,C509,$D$4:$D$802)</x:f>
        <x:v>0.00911772901989595</x:v>
      </x:c>
      <x:c r="J509" s="103" t="n">
        <x:f>(D509/SUMIF($A$4:$A$802,A509,$D$4:$D$802))/(SUMIF($C$4:$C$802,C509,$D$4:$D$802)/SUM($D$4:$D$802))</x:f>
        <x:v>1.0375771975437942</x:v>
      </x:c>
    </x:row>
    <x:row r="510">
      <x:c r="A510" s="101" t="str">
        <x:v>和歌山県</x:v>
      </x:c>
      <x:c r="B510" s="101" t="str">
        <x:v>O</x:v>
      </x:c>
      <x:c r="C510" s="101" t="str">
        <x:v>教育，学習支援業</x:v>
      </x:c>
      <x:c r="D510" s="102" t="n">
        <x:v>1362</x:v>
      </x:c>
      <x:c r="E510" s="102" t="n">
        <x:f>1+COUNTIFS($C$4:$C$802,C510,$D$4:$D$802,"&gt;"&amp;D510)</x:f>
        <x:v>36</x:v>
      </x:c>
      <x:c r="F510" s="102" t="n">
        <x:v>922584</x:v>
      </x:c>
      <x:c r="G510" s="126" t="n">
        <x:f>D510/F510*100000</x:f>
        <x:v>147.62883379724772</x:v>
      </x:c>
      <x:c r="H510" s="127" t="n">
        <x:f>1+COUNTIFS($C$4:$C$802,C510,$G$4:$G$802,"&gt;"&amp;G510)</x:f>
        <x:v>6</x:v>
      </x:c>
      <x:c r="I510" s="128" t="n">
        <x:f>D510/SUMIF($C$4:$C$802,C510,$D$4:$D$802)</x:f>
        <x:v>0.00833756741370128</x:v>
      </x:c>
      <x:c r="J510" s="103" t="n">
        <x:f>(D510/SUMIF($A$4:$A$802,A510,$D$4:$D$802))/(SUMIF($C$4:$C$802,C510,$D$4:$D$802)/SUM($D$4:$D$802))</x:f>
        <x:v>0.9487965492902263</x:v>
      </x:c>
    </x:row>
    <x:row r="511">
      <x:c r="A511" s="101" t="str">
        <x:v>和歌山県</x:v>
      </x:c>
      <x:c r="B511" s="101" t="str">
        <x:v>P</x:v>
      </x:c>
      <x:c r="C511" s="101" t="str">
        <x:v>医療，福祉</x:v>
      </x:c>
      <x:c r="D511" s="102" t="n">
        <x:v>4361</x:v>
      </x:c>
      <x:c r="E511" s="102" t="n">
        <x:f>1+COUNTIFS($C$4:$C$802,C511,$D$4:$D$802,"&gt;"&amp;D511)</x:f>
        <x:v>35</x:v>
      </x:c>
      <x:c r="F511" s="102" t="n">
        <x:v>922584</x:v>
      </x:c>
      <x:c r="G511" s="126" t="n">
        <x:f>D511/F511*100000</x:f>
        <x:v>472.69408530822125</x:v>
      </x:c>
      <x:c r="H511" s="127" t="n">
        <x:f>1+COUNTIFS($C$4:$C$802,C511,$G$4:$G$802,"&gt;"&amp;G511)</x:f>
        <x:v>1</x:v>
      </x:c>
      <x:c r="I511" s="128" t="n">
        <x:f>D511/SUMIF($C$4:$C$802,C511,$D$4:$D$802)</x:f>
        <x:v>0.00942855722102951</x:v>
      </x:c>
      <x:c r="J511" s="103" t="n">
        <x:f>(D511/SUMIF($A$4:$A$802,A511,$D$4:$D$802))/(SUMIF($C$4:$C$802,C511,$D$4:$D$802)/SUM($D$4:$D$802))</x:f>
        <x:v>1.0729487525818948</x:v>
      </x:c>
    </x:row>
    <x:row r="512">
      <x:c r="A512" s="101" t="str">
        <x:v>和歌山県</x:v>
      </x:c>
      <x:c r="B512" s="101" t="str">
        <x:v>Q</x:v>
      </x:c>
      <x:c r="C512" s="101" t="str">
        <x:v>複合サービス事業</x:v>
      </x:c>
      <x:c r="D512" s="102" t="n">
        <x:v>436</x:v>
      </x:c>
      <x:c r="E512" s="102" t="n">
        <x:f>1+COUNTIFS($C$4:$C$802,C512,$D$4:$D$802,"&gt;"&amp;D512)</x:f>
        <x:v>34</x:v>
      </x:c>
      <x:c r="F512" s="102" t="n">
        <x:v>922584</x:v>
      </x:c>
      <x:c r="G512" s="126" t="n">
        <x:f>D512/F512*100000</x:f>
        <x:v>47.25856940939795</x:v>
      </x:c>
      <x:c r="H512" s="127" t="n">
        <x:f>1+COUNTIFS($C$4:$C$802,C512,$G$4:$G$802,"&gt;"&amp;G512)</x:f>
        <x:v>7</x:v>
      </x:c>
      <x:c r="I512" s="128" t="n">
        <x:f>D512/SUMIF($C$4:$C$802,C512,$D$4:$D$802)</x:f>
        <x:v>0.013569450063801313</x:v>
      </x:c>
      <x:c r="J512" s="103" t="n">
        <x:f>(D512/SUMIF($A$4:$A$802,A512,$D$4:$D$802))/(SUMIF($C$4:$C$802,C512,$D$4:$D$802)/SUM($D$4:$D$802))</x:f>
        <x:v>1.544173109190527</x:v>
      </x:c>
    </x:row>
    <x:row r="513">
      <x:c r="A513" s="101" t="str">
        <x:v>和歌山県</x:v>
      </x:c>
      <x:c r="B513" s="101" t="str">
        <x:v>R</x:v>
      </x:c>
      <x:c r="C513" s="101" t="str">
        <x:v>サービス業（他に分類されないもの）</x:v>
      </x:c>
      <x:c r="D513" s="102" t="n">
        <x:v>4107</x:v>
      </x:c>
      <x:c r="E513" s="102" t="n">
        <x:f>1+COUNTIFS($C$4:$C$802,C513,$D$4:$D$802,"&gt;"&amp;D513)</x:f>
        <x:v>35</x:v>
      </x:c>
      <x:c r="F513" s="102" t="n">
        <x:v>922584</x:v>
      </x:c>
      <x:c r="G513" s="126" t="n">
        <x:f>D513/F513*100000</x:f>
        <x:v>445.1627168908197</x:v>
      </x:c>
      <x:c r="H513" s="127" t="n">
        <x:f>1+COUNTIFS($C$4:$C$802,C513,$G$4:$G$802,"&gt;"&amp;G513)</x:f>
        <x:v>2</x:v>
      </x:c>
      <x:c r="I513" s="128" t="n">
        <x:f>D513/SUMIF($C$4:$C$802,C513,$D$4:$D$802)</x:f>
        <x:v>0.011123690454264758</x:v>
      </x:c>
      <x:c r="J513" s="103" t="n">
        <x:f>(D513/SUMIF($A$4:$A$802,A513,$D$4:$D$802))/(SUMIF($C$4:$C$802,C513,$D$4:$D$802)/SUM($D$4:$D$802))</x:f>
        <x:v>1.265851128356126</x:v>
      </x:c>
    </x:row>
    <x:row r="514">
      <x:c r="A514" s="101" t="str">
        <x:v>鳥取県</x:v>
      </x:c>
      <x:c r="B514" s="101" t="str">
        <x:v>AB</x:v>
      </x:c>
      <x:c r="C514" s="101" t="str">
        <x:v>農林漁業</x:v>
      </x:c>
      <x:c r="D514" s="102" t="n">
        <x:v>437</x:v>
      </x:c>
      <x:c r="E514" s="102" t="n">
        <x:f>1+COUNTIFS($C$4:$C$802,C514,$D$4:$D$802,"&gt;"&amp;D514)</x:f>
        <x:v>43</x:v>
      </x:c>
      <x:c r="F514" s="102" t="n">
        <x:v>553407</x:v>
      </x:c>
      <x:c r="G514" s="126" t="n">
        <x:f>D514/F514*100000</x:f>
        <x:v>78.96539075219503</x:v>
      </x:c>
      <x:c r="H514" s="127" t="n">
        <x:f>1+COUNTIFS($C$4:$C$802,C514,$G$4:$G$802,"&gt;"&amp;G514)</x:f>
        <x:v>8</x:v>
      </x:c>
      <x:c r="I514" s="128" t="n">
        <x:f>D514/SUMIF($C$4:$C$802,C514,$D$4:$D$802)</x:f>
        <x:v>0.010292524377031419</x:v>
      </x:c>
      <x:c r="J514" s="103" t="n">
        <x:f>(D514/SUMIF($A$4:$A$802,A514,$D$4:$D$802))/(SUMIF($C$4:$C$802,C514,$D$4:$D$802)/SUM($D$4:$D$802))</x:f>
        <x:v>2.189130604612233</x:v>
      </x:c>
    </x:row>
    <x:row r="515">
      <x:c r="A515" s="101" t="str">
        <x:v>鳥取県</x:v>
      </x:c>
      <x:c r="B515" s="101" t="str">
        <x:v>C</x:v>
      </x:c>
      <x:c r="C515" s="101" t="str">
        <x:v>鉱業，採石業，砂利採取業</x:v>
      </x:c>
      <x:c r="D515" s="102" t="n">
        <x:v>6</x:v>
      </x:c>
      <x:c r="E515" s="102" t="n">
        <x:f>1+COUNTIFS($C$4:$C$802,C515,$D$4:$D$802,"&gt;"&amp;D515)</x:f>
        <x:v>46</x:v>
      </x:c>
      <x:c r="F515" s="102" t="n">
        <x:v>553407</x:v>
      </x:c>
      <x:c r="G515" s="126" t="n">
        <x:f>D515/F515*100000</x:f>
        <x:v>1.084193008039291</x:v>
      </x:c>
      <x:c r="H515" s="127" t="n">
        <x:f>1+COUNTIFS($C$4:$C$802,C515,$G$4:$G$802,"&gt;"&amp;G515)</x:f>
        <x:v>36</x:v>
      </x:c>
      <x:c r="I515" s="128" t="n">
        <x:f>D515/SUMIF($C$4:$C$802,C515,$D$4:$D$802)</x:f>
        <x:v>0.0032171581769436996</x:v>
      </x:c>
      <x:c r="J515" s="103" t="n">
        <x:f>(D515/SUMIF($A$4:$A$802,A515,$D$4:$D$802))/(SUMIF($C$4:$C$802,C515,$D$4:$D$802)/SUM($D$4:$D$802))</x:f>
        <x:v>0.6842616220314687</x:v>
      </x:c>
    </x:row>
    <x:row r="516">
      <x:c r="A516" s="101" t="str">
        <x:v>鳥取県</x:v>
      </x:c>
      <x:c r="B516" s="101" t="str">
        <x:v>D</x:v>
      </x:c>
      <x:c r="C516" s="101" t="str">
        <x:v>建設業</x:v>
      </x:c>
      <x:c r="D516" s="102" t="n">
        <x:v>2217</x:v>
      </x:c>
      <x:c r="E516" s="102" t="n">
        <x:f>1+COUNTIFS($C$4:$C$802,C516,$D$4:$D$802,"&gt;"&amp;D516)</x:f>
        <x:v>47</x:v>
      </x:c>
      <x:c r="F516" s="102" t="n">
        <x:v>553407</x:v>
      </x:c>
      <x:c r="G516" s="126" t="n">
        <x:f>D516/F516*100000</x:f>
        <x:v>400.6093164705181</x:v>
      </x:c>
      <x:c r="H516" s="127" t="n">
        <x:f>1+COUNTIFS($C$4:$C$802,C516,$G$4:$G$802,"&gt;"&amp;G516)</x:f>
        <x:v>35</x:v>
      </x:c>
      <x:c r="I516" s="128" t="n">
        <x:f>D516/SUMIF($C$4:$C$802,C516,$D$4:$D$802)</x:f>
        <x:v>0.004569861997176044</x:v>
      </x:c>
      <x:c r="J516" s="103" t="n">
        <x:f>(D516/SUMIF($A$4:$A$802,A516,$D$4:$D$802))/(SUMIF($C$4:$C$802,C516,$D$4:$D$802)/SUM($D$4:$D$802))</x:f>
        <x:v>0.9719699842729768</x:v>
      </x:c>
    </x:row>
    <x:row r="517">
      <x:c r="A517" s="101" t="str">
        <x:v>鳥取県</x:v>
      </x:c>
      <x:c r="B517" s="101" t="str">
        <x:v>E</x:v>
      </x:c>
      <x:c r="C517" s="101" t="str">
        <x:v>製造業</x:v>
      </x:c>
      <x:c r="D517" s="102" t="n">
        <x:v>1467</x:v>
      </x:c>
      <x:c r="E517" s="102" t="n">
        <x:f>1+COUNTIFS($C$4:$C$802,C517,$D$4:$D$802,"&gt;"&amp;D517)</x:f>
        <x:v>47</x:v>
      </x:c>
      <x:c r="F517" s="102" t="n">
        <x:v>553407</x:v>
      </x:c>
      <x:c r="G517" s="126" t="n">
        <x:f>D517/F517*100000</x:f>
        <x:v>265.0851904656067</x:v>
      </x:c>
      <x:c r="H517" s="127" t="n">
        <x:f>1+COUNTIFS($C$4:$C$802,C517,$G$4:$G$802,"&gt;"&amp;G517)</x:f>
        <x:v>36</x:v>
      </x:c>
      <x:c r="I517" s="128" t="n">
        <x:f>D517/SUMIF($C$4:$C$802,C517,$D$4:$D$802)</x:f>
        <x:v>0.003555355208340907</x:v>
      </x:c>
      <x:c r="J517" s="103" t="n">
        <x:f>(D517/SUMIF($A$4:$A$802,A517,$D$4:$D$802))/(SUMIF($C$4:$C$802,C517,$D$4:$D$802)/SUM($D$4:$D$802))</x:f>
        <x:v>0.7561931953462521</x:v>
      </x:c>
    </x:row>
    <x:row r="518">
      <x:c r="A518" s="101" t="str">
        <x:v>鳥取県</x:v>
      </x:c>
      <x:c r="B518" s="101" t="str">
        <x:v>F</x:v>
      </x:c>
      <x:c r="C518" s="101" t="str">
        <x:v>電気・ガス・熱供給・水道業</x:v>
      </x:c>
      <x:c r="D518" s="102" t="n">
        <x:v>47</x:v>
      </x:c>
      <x:c r="E518" s="102" t="n">
        <x:f>1+COUNTIFS($C$4:$C$802,C518,$D$4:$D$802,"&gt;"&amp;D518)</x:f>
        <x:v>47</x:v>
      </x:c>
      <x:c r="F518" s="102" t="n">
        <x:v>553407</x:v>
      </x:c>
      <x:c r="G518" s="126" t="n">
        <x:f>D518/F518*100000</x:f>
        <x:v>8.492845229641114</x:v>
      </x:c>
      <x:c r="H518" s="127" t="n">
        <x:f>1+COUNTIFS($C$4:$C$802,C518,$G$4:$G$802,"&gt;"&amp;G518)</x:f>
        <x:v>24</x:v>
      </x:c>
      <x:c r="I518" s="128" t="n">
        <x:f>D518/SUMIF($C$4:$C$802,C518,$D$4:$D$802)</x:f>
        <x:v>0.005142794616478827</x:v>
      </x:c>
      <x:c r="J518" s="103" t="n">
        <x:f>(D518/SUMIF($A$4:$A$802,A518,$D$4:$D$802))/(SUMIF($C$4:$C$802,C518,$D$4:$D$802)/SUM($D$4:$D$802))</x:f>
        <x:v>1.093827779829456</x:v>
      </x:c>
    </x:row>
    <x:row r="519">
      <x:c r="A519" s="101" t="str">
        <x:v>鳥取県</x:v>
      </x:c>
      <x:c r="B519" s="101" t="str">
        <x:v>G</x:v>
      </x:c>
      <x:c r="C519" s="101" t="str">
        <x:v>情報通信業</x:v>
      </x:c>
      <x:c r="D519" s="102" t="n">
        <x:v>234</x:v>
      </x:c>
      <x:c r="E519" s="102" t="n">
        <x:f>1+COUNTIFS($C$4:$C$802,C519,$D$4:$D$802,"&gt;"&amp;D519)</x:f>
        <x:v>47</x:v>
      </x:c>
      <x:c r="F519" s="102" t="n">
        <x:v>553407</x:v>
      </x:c>
      <x:c r="G519" s="126" t="n">
        <x:f>D519/F519*100000</x:f>
        <x:v>42.28352731353235</x:v>
      </x:c>
      <x:c r="H519" s="127" t="n">
        <x:f>1+COUNTIFS($C$4:$C$802,C519,$G$4:$G$802,"&gt;"&amp;G519)</x:f>
        <x:v>16</x:v>
      </x:c>
      <x:c r="I519" s="128" t="n">
        <x:f>D519/SUMIF($C$4:$C$802,C519,$D$4:$D$802)</x:f>
        <x:v>0.003056466254783892</x:v>
      </x:c>
      <x:c r="J519" s="103" t="n">
        <x:f>(D519/SUMIF($A$4:$A$802,A519,$D$4:$D$802))/(SUMIF($C$4:$C$802,C519,$D$4:$D$802)/SUM($D$4:$D$802))</x:f>
        <x:v>0.6500838448576767</x:v>
      </x:c>
    </x:row>
    <x:row r="520">
      <x:c r="A520" s="101" t="str">
        <x:v>鳥取県</x:v>
      </x:c>
      <x:c r="B520" s="101" t="str">
        <x:v>H</x:v>
      </x:c>
      <x:c r="C520" s="101" t="str">
        <x:v>運輸業，郵便業</x:v>
      </x:c>
      <x:c r="D520" s="102" t="n">
        <x:v>496</x:v>
      </x:c>
      <x:c r="E520" s="102" t="n">
        <x:f>1+COUNTIFS($C$4:$C$802,C520,$D$4:$D$802,"&gt;"&amp;D520)</x:f>
        <x:v>47</x:v>
      </x:c>
      <x:c r="F520" s="102" t="n">
        <x:v>553407</x:v>
      </x:c>
      <x:c r="G520" s="126" t="n">
        <x:f>D520/F520*100000</x:f>
        <x:v>89.62662199791474</x:v>
      </x:c>
      <x:c r="H520" s="127" t="n">
        <x:f>1+COUNTIFS($C$4:$C$802,C520,$G$4:$G$802,"&gt;"&amp;G520)</x:f>
        <x:v>40</x:v>
      </x:c>
      <x:c r="I520" s="128" t="n">
        <x:f>D520/SUMIF($C$4:$C$802,C520,$D$4:$D$802)</x:f>
        <x:v>0.0038682305964562015</x:v>
      </x:c>
      <x:c r="J520" s="103" t="n">
        <x:f>(D520/SUMIF($A$4:$A$802,A520,$D$4:$D$802))/(SUMIF($C$4:$C$802,C520,$D$4:$D$802)/SUM($D$4:$D$802))</x:f>
        <x:v>0.8227390749053607</x:v>
      </x:c>
    </x:row>
    <x:row r="521">
      <x:c r="A521" s="101" t="str">
        <x:v>鳥取県</x:v>
      </x:c>
      <x:c r="B521" s="101" t="str">
        <x:v>I</x:v>
      </x:c>
      <x:c r="C521" s="101" t="str">
        <x:v>卸売業，小売業</x:v>
      </x:c>
      <x:c r="D521" s="102" t="n">
        <x:v>6116</x:v>
      </x:c>
      <x:c r="E521" s="102" t="n">
        <x:f>1+COUNTIFS($C$4:$C$802,C521,$D$4:$D$802,"&gt;"&amp;D521)</x:f>
        <x:v>47</x:v>
      </x:c>
      <x:c r="F521" s="102" t="n">
        <x:v>553407</x:v>
      </x:c>
      <x:c r="G521" s="126" t="n">
        <x:f>D521/F521*100000</x:f>
        <x:v>1105.154072861384</x:v>
      </x:c>
      <x:c r="H521" s="127" t="n">
        <x:f>1+COUNTIFS($C$4:$C$802,C521,$G$4:$G$802,"&gt;"&amp;G521)</x:f>
        <x:v>22</x:v>
      </x:c>
      <x:c r="I521" s="128" t="n">
        <x:f>D521/SUMIF($C$4:$C$802,C521,$D$4:$D$802)</x:f>
        <x:v>0.0049767275331185105</x:v>
      </x:c>
      <x:c r="J521" s="103" t="n">
        <x:f>(D521/SUMIF($A$4:$A$802,A521,$D$4:$D$802))/(SUMIF($C$4:$C$802,C521,$D$4:$D$802)/SUM($D$4:$D$802))</x:f>
        <x:v>1.0585067525201564</x:v>
      </x:c>
    </x:row>
    <x:row r="522">
      <x:c r="A522" s="101" t="str">
        <x:v>鳥取県</x:v>
      </x:c>
      <x:c r="B522" s="101" t="str">
        <x:v>J</x:v>
      </x:c>
      <x:c r="C522" s="101" t="str">
        <x:v>金融業，保険業</x:v>
      </x:c>
      <x:c r="D522" s="102" t="n">
        <x:v>492</x:v>
      </x:c>
      <x:c r="E522" s="102" t="n">
        <x:f>1+COUNTIFS($C$4:$C$802,C522,$D$4:$D$802,"&gt;"&amp;D522)</x:f>
        <x:v>47</x:v>
      </x:c>
      <x:c r="F522" s="102" t="n">
        <x:v>553407</x:v>
      </x:c>
      <x:c r="G522" s="126" t="n">
        <x:f>D522/F522*100000</x:f>
        <x:v>88.90382665922188</x:v>
      </x:c>
      <x:c r="H522" s="127" t="n">
        <x:f>1+COUNTIFS($C$4:$C$802,C522,$G$4:$G$802,"&gt;"&amp;G522)</x:f>
        <x:v>3</x:v>
      </x:c>
      <x:c r="I522" s="128" t="n">
        <x:f>D522/SUMIF($C$4:$C$802,C522,$D$4:$D$802)</x:f>
        <x:v>0.005867480799503888</x:v>
      </x:c>
      <x:c r="J522" s="103" t="n">
        <x:f>(D522/SUMIF($A$4:$A$802,A522,$D$4:$D$802))/(SUMIF($C$4:$C$802,C522,$D$4:$D$802)/SUM($D$4:$D$802))</x:f>
        <x:v>1.247962241297435</x:v>
      </x:c>
    </x:row>
    <x:row r="523">
      <x:c r="A523" s="101" t="str">
        <x:v>鳥取県</x:v>
      </x:c>
      <x:c r="B523" s="101" t="str">
        <x:v>K</x:v>
      </x:c>
      <x:c r="C523" s="101" t="str">
        <x:v>不動産業，物品賃貸業</x:v>
      </x:c>
      <x:c r="D523" s="102" t="n">
        <x:v>1233</x:v>
      </x:c>
      <x:c r="E523" s="102" t="n">
        <x:f>1+COUNTIFS($C$4:$C$802,C523,$D$4:$D$802,"&gt;"&amp;D523)</x:f>
        <x:v>47</x:v>
      </x:c>
      <x:c r="F523" s="102" t="n">
        <x:v>553407</x:v>
      </x:c>
      <x:c r="G523" s="126" t="n">
        <x:f>D523/F523*100000</x:f>
        <x:v>222.80166315207435</x:v>
      </x:c>
      <x:c r="H523" s="127" t="n">
        <x:f>1+COUNTIFS($C$4:$C$802,C523,$G$4:$G$802,"&gt;"&amp;G523)</x:f>
        <x:v>37</x:v>
      </x:c>
      <x:c r="I523" s="128" t="n">
        <x:f>D523/SUMIF($C$4:$C$802,C523,$D$4:$D$802)</x:f>
        <x:v>0.0032927767214305553</x:v>
      </x:c>
      <x:c r="J523" s="103" t="n">
        <x:f>(D523/SUMIF($A$4:$A$802,A523,$D$4:$D$802))/(SUMIF($C$4:$C$802,C523,$D$4:$D$802)/SUM($D$4:$D$802))</x:f>
        <x:v>0.70034503013899</x:v>
      </x:c>
    </x:row>
    <x:row r="524">
      <x:c r="A524" s="101" t="str">
        <x:v>鳥取県</x:v>
      </x:c>
      <x:c r="B524" s="101" t="str">
        <x:v>L</x:v>
      </x:c>
      <x:c r="C524" s="101" t="str">
        <x:v>学術研究，専門・技術サービス業</x:v>
      </x:c>
      <x:c r="D524" s="102" t="n">
        <x:v>960</x:v>
      </x:c>
      <x:c r="E524" s="102" t="n">
        <x:f>1+COUNTIFS($C$4:$C$802,C524,$D$4:$D$802,"&gt;"&amp;D524)</x:f>
        <x:v>47</x:v>
      </x:c>
      <x:c r="F524" s="102" t="n">
        <x:v>553407</x:v>
      </x:c>
      <x:c r="G524" s="126" t="n">
        <x:f>D524/F524*100000</x:f>
        <x:v>173.47088128628658</x:v>
      </x:c>
      <x:c r="H524" s="127" t="n">
        <x:f>1+COUNTIFS($C$4:$C$802,C524,$G$4:$G$802,"&gt;"&amp;G524)</x:f>
        <x:v>28</x:v>
      </x:c>
      <x:c r="I524" s="128" t="n">
        <x:f>D524/SUMIF($C$4:$C$802,C524,$D$4:$D$802)</x:f>
        <x:v>0.0038043909011650947</x:v>
      </x:c>
      <x:c r="J524" s="103" t="n">
        <x:f>(D524/SUMIF($A$4:$A$802,A524,$D$4:$D$802))/(SUMIF($C$4:$C$802,C524,$D$4:$D$802)/SUM($D$4:$D$802))</x:f>
        <x:v>0.809160925791354</x:v>
      </x:c>
    </x:row>
    <x:row r="525">
      <x:c r="A525" s="101" t="str">
        <x:v>鳥取県</x:v>
      </x:c>
      <x:c r="B525" s="101" t="str">
        <x:v>M</x:v>
      </x:c>
      <x:c r="C525" s="101" t="str">
        <x:v>宿泊業，飲食サービス業</x:v>
      </x:c>
      <x:c r="D525" s="102" t="n">
        <x:v>2887</x:v>
      </x:c>
      <x:c r="E525" s="102" t="n">
        <x:f>1+COUNTIFS($C$4:$C$802,C525,$D$4:$D$802,"&gt;"&amp;D525)</x:f>
        <x:v>47</x:v>
      </x:c>
      <x:c r="F525" s="102" t="n">
        <x:v>553407</x:v>
      </x:c>
      <x:c r="G525" s="126" t="n">
        <x:f>D525/F525*100000</x:f>
        <x:v>521.6775357015722</x:v>
      </x:c>
      <x:c r="H525" s="127" t="n">
        <x:f>1+COUNTIFS($C$4:$C$802,C525,$G$4:$G$802,"&gt;"&amp;G525)</x:f>
        <x:v>19</x:v>
      </x:c>
      <x:c r="I525" s="128" t="n">
        <x:f>D525/SUMIF($C$4:$C$802,C525,$D$4:$D$802)</x:f>
        <x:v>0.0048192328622604155</x:v>
      </x:c>
      <x:c r="J525" s="103" t="n">
        <x:f>(D525/SUMIF($A$4:$A$802,A525,$D$4:$D$802))/(SUMIF($C$4:$C$802,C525,$D$4:$D$802)/SUM($D$4:$D$802))</x:f>
        <x:v>1.0250090029488088</x:v>
      </x:c>
    </x:row>
    <x:row r="526">
      <x:c r="A526" s="101" t="str">
        <x:v>鳥取県</x:v>
      </x:c>
      <x:c r="B526" s="101" t="str">
        <x:v>N</x:v>
      </x:c>
      <x:c r="C526" s="101" t="str">
        <x:v>生活関連サービス業，娯楽業</x:v>
      </x:c>
      <x:c r="D526" s="102" t="n">
        <x:v>2398</x:v>
      </x:c>
      <x:c r="E526" s="102" t="n">
        <x:f>1+COUNTIFS($C$4:$C$802,C526,$D$4:$D$802,"&gt;"&amp;D526)</x:f>
        <x:v>47</x:v>
      </x:c>
      <x:c r="F526" s="102" t="n">
        <x:v>553407</x:v>
      </x:c>
      <x:c r="G526" s="126" t="n">
        <x:f>D526/F526*100000</x:f>
        <x:v>433.3158055463701</x:v>
      </x:c>
      <x:c r="H526" s="127" t="n">
        <x:f>1+COUNTIFS($C$4:$C$802,C526,$G$4:$G$802,"&gt;"&amp;G526)</x:f>
        <x:v>11</x:v>
      </x:c>
      <x:c r="I526" s="128" t="n">
        <x:f>D526/SUMIF($C$4:$C$802,C526,$D$4:$D$802)</x:f>
        <x:v>0.005522686079745007</x:v>
      </x:c>
      <x:c r="J526" s="103" t="n">
        <x:f>(D526/SUMIF($A$4:$A$802,A526,$D$4:$D$802))/(SUMIF($C$4:$C$802,C526,$D$4:$D$802)/SUM($D$4:$D$802))</x:f>
        <x:v>1.174627396930463</x:v>
      </x:c>
    </x:row>
    <x:row r="527">
      <x:c r="A527" s="101" t="str">
        <x:v>鳥取県</x:v>
      </x:c>
      <x:c r="B527" s="101" t="str">
        <x:v>O</x:v>
      </x:c>
      <x:c r="C527" s="101" t="str">
        <x:v>教育，学習支援業</x:v>
      </x:c>
      <x:c r="D527" s="102" t="n">
        <x:v>726</x:v>
      </x:c>
      <x:c r="E527" s="102" t="n">
        <x:f>1+COUNTIFS($C$4:$C$802,C527,$D$4:$D$802,"&gt;"&amp;D527)</x:f>
        <x:v>47</x:v>
      </x:c>
      <x:c r="F527" s="102" t="n">
        <x:v>553407</x:v>
      </x:c>
      <x:c r="G527" s="126" t="n">
        <x:f>D527/F527*100000</x:f>
        <x:v>131.18735397275424</x:v>
      </x:c>
      <x:c r="H527" s="127" t="n">
        <x:f>1+COUNTIFS($C$4:$C$802,C527,$G$4:$G$802,"&gt;"&amp;G527)</x:f>
        <x:v>24</x:v>
      </x:c>
      <x:c r="I527" s="128" t="n">
        <x:f>D527/SUMIF($C$4:$C$802,C527,$D$4:$D$802)</x:f>
        <x:v>0.004444253995849581</x:v>
      </x:c>
      <x:c r="J527" s="103" t="n">
        <x:f>(D527/SUMIF($A$4:$A$802,A527,$D$4:$D$802))/(SUMIF($C$4:$C$802,C527,$D$4:$D$802)/SUM($D$4:$D$802))</x:f>
        <x:v>0.9452542525617598</x:v>
      </x:c>
    </x:row>
    <x:row r="528">
      <x:c r="A528" s="101" t="str">
        <x:v>鳥取県</x:v>
      </x:c>
      <x:c r="B528" s="101" t="str">
        <x:v>P</x:v>
      </x:c>
      <x:c r="C528" s="101" t="str">
        <x:v>医療，福祉</x:v>
      </x:c>
      <x:c r="D528" s="102" t="n">
        <x:v>2253</x:v>
      </x:c>
      <x:c r="E528" s="102" t="n">
        <x:f>1+COUNTIFS($C$4:$C$802,C528,$D$4:$D$802,"&gt;"&amp;D528)</x:f>
        <x:v>47</x:v>
      </x:c>
      <x:c r="F528" s="102" t="n">
        <x:v>553407</x:v>
      </x:c>
      <x:c r="G528" s="126" t="n">
        <x:f>D528/F528*100000</x:f>
        <x:v>407.1144745187538</x:v>
      </x:c>
      <x:c r="H528" s="127" t="n">
        <x:f>1+COUNTIFS($C$4:$C$802,C528,$G$4:$G$802,"&gt;"&amp;G528)</x:f>
        <x:v>15</x:v>
      </x:c>
      <x:c r="I528" s="128" t="n">
        <x:f>D528/SUMIF($C$4:$C$802,C528,$D$4:$D$802)</x:f>
        <x:v>0.004871024861036341</x:v>
      </x:c>
      <x:c r="J528" s="103" t="n">
        <x:f>(D528/SUMIF($A$4:$A$802,A528,$D$4:$D$802))/(SUMIF($C$4:$C$802,C528,$D$4:$D$802)/SUM($D$4:$D$802))</x:f>
        <x:v>1.0360247115778245</x:v>
      </x:c>
    </x:row>
    <x:row r="529">
      <x:c r="A529" s="101" t="str">
        <x:v>鳥取県</x:v>
      </x:c>
      <x:c r="B529" s="101" t="str">
        <x:v>Q</x:v>
      </x:c>
      <x:c r="C529" s="101" t="str">
        <x:v>複合サービス事業</x:v>
      </x:c>
      <x:c r="D529" s="102" t="n">
        <x:v>314</x:v>
      </x:c>
      <x:c r="E529" s="102" t="n">
        <x:f>1+COUNTIFS($C$4:$C$802,C529,$D$4:$D$802,"&gt;"&amp;D529)</x:f>
        <x:v>45</x:v>
      </x:c>
      <x:c r="F529" s="102" t="n">
        <x:v>553407</x:v>
      </x:c>
      <x:c r="G529" s="126" t="n">
        <x:f>D529/F529*100000</x:f>
        <x:v>56.73943408738957</x:v>
      </x:c>
      <x:c r="H529" s="127" t="n">
        <x:f>1+COUNTIFS($C$4:$C$802,C529,$G$4:$G$802,"&gt;"&amp;G529)</x:f>
        <x:v>3</x:v>
      </x:c>
      <x:c r="I529" s="128" t="n">
        <x:f>D529/SUMIF($C$4:$C$802,C529,$D$4:$D$802)</x:f>
        <x:v>0.009772493853288102</x:v>
      </x:c>
      <x:c r="J529" s="103" t="n">
        <x:f>(D529/SUMIF($A$4:$A$802,A529,$D$4:$D$802))/(SUMIF($C$4:$C$802,C529,$D$4:$D$802)/SUM($D$4:$D$802))</x:f>
        <x:v>2.0785246256359295</x:v>
      </x:c>
    </x:row>
    <x:row r="530">
      <x:c r="A530" s="101" t="str">
        <x:v>鳥取県</x:v>
      </x:c>
      <x:c r="B530" s="101" t="str">
        <x:v>R</x:v>
      </x:c>
      <x:c r="C530" s="101" t="str">
        <x:v>サービス業（他に分類されないもの）</x:v>
      </x:c>
      <x:c r="D530" s="102" t="n">
        <x:v>1959</x:v>
      </x:c>
      <x:c r="E530" s="102" t="n">
        <x:f>1+COUNTIFS($C$4:$C$802,C530,$D$4:$D$802,"&gt;"&amp;D530)</x:f>
        <x:v>47</x:v>
      </x:c>
      <x:c r="F530" s="102" t="n">
        <x:v>553407</x:v>
      </x:c>
      <x:c r="G530" s="126" t="n">
        <x:f>D530/F530*100000</x:f>
        <x:v>353.98901712482854</x:v>
      </x:c>
      <x:c r="H530" s="127" t="n">
        <x:f>1+COUNTIFS($C$4:$C$802,C530,$G$4:$G$802,"&gt;"&amp;G530)</x:f>
        <x:v>17</x:v>
      </x:c>
      <x:c r="I530" s="128" t="n">
        <x:f>D530/SUMIF($C$4:$C$802,C530,$D$4:$D$802)</x:f>
        <x:v>0.005305894716314746</x:v>
      </x:c>
      <x:c r="J530" s="103" t="n">
        <x:f>(D530/SUMIF($A$4:$A$802,A530,$D$4:$D$802))/(SUMIF($C$4:$C$802,C530,$D$4:$D$802)/SUM($D$4:$D$802))</x:f>
        <x:v>1.128517755494017</x:v>
      </x:c>
    </x:row>
    <x:row r="531">
      <x:c r="A531" s="101" t="str">
        <x:v>島根県</x:v>
      </x:c>
      <x:c r="B531" s="101" t="str">
        <x:v>AB</x:v>
      </x:c>
      <x:c r="C531" s="101" t="str">
        <x:v>農林漁業</x:v>
      </x:c>
      <x:c r="D531" s="102" t="n">
        <x:v>703</x:v>
      </x:c>
      <x:c r="E531" s="102" t="n">
        <x:f>1+COUNTIFS($C$4:$C$802,C531,$D$4:$D$802,"&gt;"&amp;D531)</x:f>
        <x:v>31</x:v>
      </x:c>
      <x:c r="F531" s="102" t="n">
        <x:v>671126</x:v>
      </x:c>
      <x:c r="G531" s="126" t="n">
        <x:f>D531/F531*100000</x:f>
        <x:v>104.7493317201241</x:v>
      </x:c>
      <x:c r="H531" s="127" t="n">
        <x:f>1+COUNTIFS($C$4:$C$802,C531,$G$4:$G$802,"&gt;"&amp;G531)</x:f>
        <x:v>3</x:v>
      </x:c>
      <x:c r="I531" s="128" t="n">
        <x:f>D531/SUMIF($C$4:$C$802,C531,$D$4:$D$802)</x:f>
        <x:v>0.016557539215224456</x:v>
      </x:c>
      <x:c r="J531" s="103" t="n">
        <x:f>(D531/SUMIF($A$4:$A$802,A531,$D$4:$D$802))/(SUMIF($C$4:$C$802,C531,$D$4:$D$802)/SUM($D$4:$D$802))</x:f>
        <x:v>2.6157954260093716</x:v>
      </x:c>
    </x:row>
    <x:row r="532">
      <x:c r="A532" s="101" t="str">
        <x:v>島根県</x:v>
      </x:c>
      <x:c r="B532" s="101" t="str">
        <x:v>C</x:v>
      </x:c>
      <x:c r="C532" s="101" t="str">
        <x:v>鉱業，採石業，砂利採取業</x:v>
      </x:c>
      <x:c r="D532" s="102" t="n">
        <x:v>31</x:v>
      </x:c>
      <x:c r="E532" s="102" t="n">
        <x:f>1+COUNTIFS($C$4:$C$802,C532,$D$4:$D$802,"&gt;"&amp;D532)</x:f>
        <x:v>23</x:v>
      </x:c>
      <x:c r="F532" s="102" t="n">
        <x:v>671126</x:v>
      </x:c>
      <x:c r="G532" s="126" t="n">
        <x:f>D532/F532*100000</x:f>
        <x:v>4.6191028212288</x:v>
      </x:c>
      <x:c r="H532" s="127" t="n">
        <x:f>1+COUNTIFS($C$4:$C$802,C532,$G$4:$G$802,"&gt;"&amp;G532)</x:f>
        <x:v>3</x:v>
      </x:c>
      <x:c r="I532" s="128" t="n">
        <x:f>D532/SUMIF($C$4:$C$802,C532,$D$4:$D$802)</x:f>
        <x:v>0.016621983914209115</x:v>
      </x:c>
      <x:c r="J532" s="103" t="n">
        <x:f>(D532/SUMIF($A$4:$A$802,A532,$D$4:$D$802))/(SUMIF($C$4:$C$802,C532,$D$4:$D$802)/SUM($D$4:$D$802))</x:f>
        <x:v>2.625976537262886</x:v>
      </x:c>
    </x:row>
    <x:row r="533">
      <x:c r="A533" s="101" t="str">
        <x:v>島根県</x:v>
      </x:c>
      <x:c r="B533" s="101" t="str">
        <x:v>D</x:v>
      </x:c>
      <x:c r="C533" s="101" t="str">
        <x:v>建設業</x:v>
      </x:c>
      <x:c r="D533" s="102" t="n">
        <x:v>3390</x:v>
      </x:c>
      <x:c r="E533" s="102" t="n">
        <x:f>1+COUNTIFS($C$4:$C$802,C533,$D$4:$D$802,"&gt;"&amp;D533)</x:f>
        <x:v>43</x:v>
      </x:c>
      <x:c r="F533" s="102" t="n">
        <x:v>671126</x:v>
      </x:c>
      <x:c r="G533" s="126" t="n">
        <x:f>D533/F533*100000</x:f>
        <x:v>505.12124399889143</x:v>
      </x:c>
      <x:c r="H533" s="127" t="n">
        <x:f>1+COUNTIFS($C$4:$C$802,C533,$G$4:$G$802,"&gt;"&amp;G533)</x:f>
        <x:v>10</x:v>
      </x:c>
      <x:c r="I533" s="128" t="n">
        <x:f>D533/SUMIF($C$4:$C$802,C533,$D$4:$D$802)</x:f>
        <x:v>0.006987745679037794</x:v>
      </x:c>
      <x:c r="J533" s="103" t="n">
        <x:f>(D533/SUMIF($A$4:$A$802,A533,$D$4:$D$802))/(SUMIF($C$4:$C$802,C533,$D$4:$D$802)/SUM($D$4:$D$802))</x:f>
        <x:v>1.1039389940587874</x:v>
      </x:c>
    </x:row>
    <x:row r="534">
      <x:c r="A534" s="101" t="str">
        <x:v>島根県</x:v>
      </x:c>
      <x:c r="B534" s="101" t="str">
        <x:v>E</x:v>
      </x:c>
      <x:c r="C534" s="101" t="str">
        <x:v>製造業</x:v>
      </x:c>
      <x:c r="D534" s="102" t="n">
        <x:v>2099</x:v>
      </x:c>
      <x:c r="E534" s="102" t="n">
        <x:f>1+COUNTIFS($C$4:$C$802,C534,$D$4:$D$802,"&gt;"&amp;D534)</x:f>
        <x:v>45</x:v>
      </x:c>
      <x:c r="F534" s="102" t="n">
        <x:v>671126</x:v>
      </x:c>
      <x:c r="G534" s="126" t="n">
        <x:f>D534/F534*100000</x:f>
        <x:v>312.7579619922339</x:v>
      </x:c>
      <x:c r="H534" s="127" t="n">
        <x:f>1+COUNTIFS($C$4:$C$802,C534,$G$4:$G$802,"&gt;"&amp;G534)</x:f>
        <x:v>29</x:v>
      </x:c>
      <x:c r="I534" s="128" t="n">
        <x:f>D534/SUMIF($C$4:$C$802,C534,$D$4:$D$802)</x:f>
        <x:v>0.00508704197839643</x:v>
      </x:c>
      <x:c r="J534" s="103" t="n">
        <x:f>(D534/SUMIF($A$4:$A$802,A534,$D$4:$D$802))/(SUMIF($C$4:$C$802,C534,$D$4:$D$802)/SUM($D$4:$D$802))</x:f>
        <x:v>0.8036617619345109</x:v>
      </x:c>
    </x:row>
    <x:row r="535">
      <x:c r="A535" s="101" t="str">
        <x:v>島根県</x:v>
      </x:c>
      <x:c r="B535" s="101" t="str">
        <x:v>F</x:v>
      </x:c>
      <x:c r="C535" s="101" t="str">
        <x:v>電気・ガス・熱供給・水道業</x:v>
      </x:c>
      <x:c r="D535" s="102" t="n">
        <x:v>73</x:v>
      </x:c>
      <x:c r="E535" s="102" t="n">
        <x:f>1+COUNTIFS($C$4:$C$802,C535,$D$4:$D$802,"&gt;"&amp;D535)</x:f>
        <x:v>40</x:v>
      </x:c>
      <x:c r="F535" s="102" t="n">
        <x:v>671126</x:v>
      </x:c>
      <x:c r="G535" s="126" t="n">
        <x:f>D535/F535*100000</x:f>
        <x:v>10.877242127409756</x:v>
      </x:c>
      <x:c r="H535" s="127" t="n">
        <x:f>1+COUNTIFS($C$4:$C$802,C535,$G$4:$G$802,"&gt;"&amp;G535)</x:f>
        <x:v>15</x:v>
      </x:c>
      <x:c r="I535" s="128" t="n">
        <x:f>D535/SUMIF($C$4:$C$802,C535,$D$4:$D$802)</x:f>
        <x:v>0.007987744829850093</x:v>
      </x:c>
      <x:c r="J535" s="103" t="n">
        <x:f>(D535/SUMIF($A$4:$A$802,A535,$D$4:$D$802))/(SUMIF($C$4:$C$802,C535,$D$4:$D$802)/SUM($D$4:$D$802))</x:f>
        <x:v>1.2619209967408573</x:v>
      </x:c>
    </x:row>
    <x:row r="536">
      <x:c r="A536" s="101" t="str">
        <x:v>島根県</x:v>
      </x:c>
      <x:c r="B536" s="101" t="str">
        <x:v>G</x:v>
      </x:c>
      <x:c r="C536" s="101" t="str">
        <x:v>情報通信業</x:v>
      </x:c>
      <x:c r="D536" s="102" t="n">
        <x:v>252</x:v>
      </x:c>
      <x:c r="E536" s="102" t="n">
        <x:f>1+COUNTIFS($C$4:$C$802,C536,$D$4:$D$802,"&gt;"&amp;D536)</x:f>
        <x:v>43</x:v>
      </x:c>
      <x:c r="F536" s="102" t="n">
        <x:v>671126</x:v>
      </x:c>
      <x:c r="G536" s="126" t="n">
        <x:f>D536/F536*100000</x:f>
        <x:v>37.54883583708573</x:v>
      </x:c>
      <x:c r="H536" s="127" t="n">
        <x:f>1+COUNTIFS($C$4:$C$802,C536,$G$4:$G$802,"&gt;"&amp;G536)</x:f>
        <x:v>21</x:v>
      </x:c>
      <x:c r="I536" s="128" t="n">
        <x:f>D536/SUMIF($C$4:$C$802,C536,$D$4:$D$802)</x:f>
        <x:v>0.0032915790436134225</x:v>
      </x:c>
      <x:c r="J536" s="103" t="n">
        <x:f>(D536/SUMIF($A$4:$A$802,A536,$D$4:$D$802))/(SUMIF($C$4:$C$802,C536,$D$4:$D$802)/SUM($D$4:$D$802))</x:f>
        <x:v>0.5200106908830638</x:v>
      </x:c>
    </x:row>
    <x:row r="537">
      <x:c r="A537" s="101" t="str">
        <x:v>島根県</x:v>
      </x:c>
      <x:c r="B537" s="101" t="str">
        <x:v>H</x:v>
      </x:c>
      <x:c r="C537" s="101" t="str">
        <x:v>運輸業，郵便業</x:v>
      </x:c>
      <x:c r="D537" s="102" t="n">
        <x:v>731</x:v>
      </x:c>
      <x:c r="E537" s="102" t="n">
        <x:f>1+COUNTIFS($C$4:$C$802,C537,$D$4:$D$802,"&gt;"&amp;D537)</x:f>
        <x:v>45</x:v>
      </x:c>
      <x:c r="F537" s="102" t="n">
        <x:v>671126</x:v>
      </x:c>
      <x:c r="G537" s="126" t="n">
        <x:f>D537/F537*100000</x:f>
        <x:v>108.92142459091139</x:v>
      </x:c>
      <x:c r="H537" s="127" t="n">
        <x:f>1+COUNTIFS($C$4:$C$802,C537,$G$4:$G$802,"&gt;"&amp;G537)</x:f>
        <x:v>18</x:v>
      </x:c>
      <x:c r="I537" s="128" t="n">
        <x:f>D537/SUMIF($C$4:$C$802,C537,$D$4:$D$802)</x:f>
        <x:v>0.005700960818567507</x:v>
      </x:c>
      <x:c r="J537" s="103" t="n">
        <x:f>(D537/SUMIF($A$4:$A$802,A537,$D$4:$D$802))/(SUMIF($C$4:$C$802,C537,$D$4:$D$802)/SUM($D$4:$D$802))</x:f>
        <x:v>0.9006499721501865</x:v>
      </x:c>
    </x:row>
    <x:row r="538">
      <x:c r="A538" s="101" t="str">
        <x:v>島根県</x:v>
      </x:c>
      <x:c r="B538" s="101" t="str">
        <x:v>I</x:v>
      </x:c>
      <x:c r="C538" s="101" t="str">
        <x:v>卸売業，小売業</x:v>
      </x:c>
      <x:c r="D538" s="102" t="n">
        <x:v>8218</x:v>
      </x:c>
      <x:c r="E538" s="102" t="n">
        <x:f>1+COUNTIFS($C$4:$C$802,C538,$D$4:$D$802,"&gt;"&amp;D538)</x:f>
        <x:v>46</x:v>
      </x:c>
      <x:c r="F538" s="102" t="n">
        <x:v>671126</x:v>
      </x:c>
      <x:c r="G538" s="126" t="n">
        <x:f>D538/F538*100000</x:f>
        <x:v>1224.5092575760737</x:v>
      </x:c>
      <x:c r="H538" s="127" t="n">
        <x:f>1+COUNTIFS($C$4:$C$802,C538,$G$4:$G$802,"&gt;"&amp;G538)</x:f>
        <x:v>4</x:v>
      </x:c>
      <x:c r="I538" s="128" t="n">
        <x:f>D538/SUMIF($C$4:$C$802,C538,$D$4:$D$802)</x:f>
        <x:v>0.006687172476646161</x:v>
      </x:c>
      <x:c r="J538" s="103" t="n">
        <x:f>(D538/SUMIF($A$4:$A$802,A538,$D$4:$D$802))/(SUMIF($C$4:$C$802,C538,$D$4:$D$802)/SUM($D$4:$D$802))</x:f>
        <x:v>1.056453797268549</x:v>
      </x:c>
    </x:row>
    <x:row r="539">
      <x:c r="A539" s="101" t="str">
        <x:v>島根県</x:v>
      </x:c>
      <x:c r="B539" s="101" t="str">
        <x:v>J</x:v>
      </x:c>
      <x:c r="C539" s="101" t="str">
        <x:v>金融業，保険業</x:v>
      </x:c>
      <x:c r="D539" s="102" t="n">
        <x:v>540</x:v>
      </x:c>
      <x:c r="E539" s="102" t="n">
        <x:f>1+COUNTIFS($C$4:$C$802,C539,$D$4:$D$802,"&gt;"&amp;D539)</x:f>
        <x:v>46</x:v>
      </x:c>
      <x:c r="F539" s="102" t="n">
        <x:v>671126</x:v>
      </x:c>
      <x:c r="G539" s="126" t="n">
        <x:f>D539/F539*100000</x:f>
        <x:v>80.46179107946944</x:v>
      </x:c>
      <x:c r="H539" s="127" t="n">
        <x:f>1+COUNTIFS($C$4:$C$802,C539,$G$4:$G$802,"&gt;"&amp;G539)</x:f>
        <x:v>11</x:v>
      </x:c>
      <x:c r="I539" s="128" t="n">
        <x:f>D539/SUMIF($C$4:$C$802,C539,$D$4:$D$802)</x:f>
        <x:v>0.006439917950674999</x:v>
      </x:c>
      <x:c r="J539" s="103" t="n">
        <x:f>(D539/SUMIF($A$4:$A$802,A539,$D$4:$D$802))/(SUMIF($C$4:$C$802,C539,$D$4:$D$802)/SUM($D$4:$D$802))</x:f>
        <x:v>1.0173919989126203</x:v>
      </x:c>
    </x:row>
    <x:row r="540">
      <x:c r="A540" s="101" t="str">
        <x:v>島根県</x:v>
      </x:c>
      <x:c r="B540" s="101" t="str">
        <x:v>K</x:v>
      </x:c>
      <x:c r="C540" s="101" t="str">
        <x:v>不動産業，物品賃貸業</x:v>
      </x:c>
      <x:c r="D540" s="102" t="n">
        <x:v>1566</x:v>
      </x:c>
      <x:c r="E540" s="102" t="n">
        <x:f>1+COUNTIFS($C$4:$C$802,C540,$D$4:$D$802,"&gt;"&amp;D540)</x:f>
        <x:v>44</x:v>
      </x:c>
      <x:c r="F540" s="102" t="n">
        <x:v>671126</x:v>
      </x:c>
      <x:c r="G540" s="126" t="n">
        <x:f>D540/F540*100000</x:f>
        <x:v>233.33919413046135</x:v>
      </x:c>
      <x:c r="H540" s="127" t="n">
        <x:f>1+COUNTIFS($C$4:$C$802,C540,$G$4:$G$802,"&gt;"&amp;G540)</x:f>
        <x:v>33</x:v>
      </x:c>
      <x:c r="I540" s="128" t="n">
        <x:f>D540/SUMIF($C$4:$C$802,C540,$D$4:$D$802)</x:f>
        <x:v>0.004182066784882603</x:v>
      </x:c>
      <x:c r="J540" s="103" t="n">
        <x:f>(D540/SUMIF($A$4:$A$802,A540,$D$4:$D$802))/(SUMIF($C$4:$C$802,C540,$D$4:$D$802)/SUM($D$4:$D$802))</x:f>
        <x:v>0.6606918470773094</x:v>
      </x:c>
    </x:row>
    <x:row r="541">
      <x:c r="A541" s="101" t="str">
        <x:v>島根県</x:v>
      </x:c>
      <x:c r="B541" s="101" t="str">
        <x:v>L</x:v>
      </x:c>
      <x:c r="C541" s="101" t="str">
        <x:v>学術研究，専門・技術サービス業</x:v>
      </x:c>
      <x:c r="D541" s="102" t="n">
        <x:v>1406</x:v>
      </x:c>
      <x:c r="E541" s="102" t="n">
        <x:f>1+COUNTIFS($C$4:$C$802,C541,$D$4:$D$802,"&gt;"&amp;D541)</x:f>
        <x:v>43</x:v>
      </x:c>
      <x:c r="F541" s="102" t="n">
        <x:v>671126</x:v>
      </x:c>
      <x:c r="G541" s="126" t="n">
        <x:f>D541/F541*100000</x:f>
        <x:v>209.4986634402482</x:v>
      </x:c>
      <x:c r="H541" s="127" t="n">
        <x:f>1+COUNTIFS($C$4:$C$802,C541,$G$4:$G$802,"&gt;"&amp;G541)</x:f>
        <x:v>5</x:v>
      </x:c>
      <x:c r="I541" s="128" t="n">
        <x:f>D541/SUMIF($C$4:$C$802,C541,$D$4:$D$802)</x:f>
        <x:v>0.005571847507331379</x:v>
      </x:c>
      <x:c r="J541" s="103" t="n">
        <x:f>(D541/SUMIF($A$4:$A$802,A541,$D$4:$D$802))/(SUMIF($C$4:$C$802,C541,$D$4:$D$802)/SUM($D$4:$D$802))</x:f>
        <x:v>0.8802523753468011</x:v>
      </x:c>
    </x:row>
    <x:row r="542">
      <x:c r="A542" s="101" t="str">
        <x:v>島根県</x:v>
      </x:c>
      <x:c r="B542" s="101" t="str">
        <x:v>M</x:v>
      </x:c>
      <x:c r="C542" s="101" t="str">
        <x:v>宿泊業，飲食サービス業</x:v>
      </x:c>
      <x:c r="D542" s="102" t="n">
        <x:v>3271</x:v>
      </x:c>
      <x:c r="E542" s="102" t="n">
        <x:f>1+COUNTIFS($C$4:$C$802,C542,$D$4:$D$802,"&gt;"&amp;D542)</x:f>
        <x:v>46</x:v>
      </x:c>
      <x:c r="F542" s="102" t="n">
        <x:v>671126</x:v>
      </x:c>
      <x:c r="G542" s="126" t="n">
        <x:f>D542/F542*100000</x:f>
        <x:v>487.3898492980454</x:v>
      </x:c>
      <x:c r="H542" s="127" t="n">
        <x:f>1+COUNTIFS($C$4:$C$802,C542,$G$4:$G$802,"&gt;"&amp;G542)</x:f>
        <x:v>29</x:v>
      </x:c>
      <x:c r="I542" s="128" t="n">
        <x:f>D542/SUMIF($C$4:$C$802,C542,$D$4:$D$802)</x:f>
        <x:v>0.005460239242277042</x:v>
      </x:c>
      <x:c r="J542" s="103" t="n">
        <x:f>(D542/SUMIF($A$4:$A$802,A542,$D$4:$D$802))/(SUMIF($C$4:$C$802,C542,$D$4:$D$802)/SUM($D$4:$D$802))</x:f>
        <x:v>0.8626202631446729</x:v>
      </x:c>
    </x:row>
    <x:row r="543">
      <x:c r="A543" s="101" t="str">
        <x:v>島根県</x:v>
      </x:c>
      <x:c r="B543" s="101" t="str">
        <x:v>N</x:v>
      </x:c>
      <x:c r="C543" s="101" t="str">
        <x:v>生活関連サービス業，娯楽業</x:v>
      </x:c>
      <x:c r="D543" s="102" t="n">
        <x:v>3021</x:v>
      </x:c>
      <x:c r="E543" s="102" t="n">
        <x:f>1+COUNTIFS($C$4:$C$802,C543,$D$4:$D$802,"&gt;"&amp;D543)</x:f>
        <x:v>46</x:v>
      </x:c>
      <x:c r="F543" s="102" t="n">
        <x:v>671126</x:v>
      </x:c>
      <x:c r="G543" s="126" t="n">
        <x:f>D543/F543*100000</x:f>
        <x:v>450.1390200945873</x:v>
      </x:c>
      <x:c r="H543" s="127" t="n">
        <x:f>1+COUNTIFS($C$4:$C$802,C543,$G$4:$G$802,"&gt;"&amp;G543)</x:f>
        <x:v>7</x:v>
      </x:c>
      <x:c r="I543" s="128" t="n">
        <x:f>D543/SUMIF($C$4:$C$802,C543,$D$4:$D$802)</x:f>
        <x:v>0.006957479002047401</x:v>
      </x:c>
      <x:c r="J543" s="103" t="n">
        <x:f>(D543/SUMIF($A$4:$A$802,A543,$D$4:$D$802))/(SUMIF($C$4:$C$802,C543,$D$4:$D$802)/SUM($D$4:$D$802))</x:f>
        <x:v>1.0991573997528428</x:v>
      </x:c>
    </x:row>
    <x:row r="544">
      <x:c r="A544" s="101" t="str">
        <x:v>島根県</x:v>
      </x:c>
      <x:c r="B544" s="101" t="str">
        <x:v>O</x:v>
      </x:c>
      <x:c r="C544" s="101" t="str">
        <x:v>教育，学習支援業</x:v>
      </x:c>
      <x:c r="D544" s="102" t="n">
        <x:v>858</x:v>
      </x:c>
      <x:c r="E544" s="102" t="n">
        <x:f>1+COUNTIFS($C$4:$C$802,C544,$D$4:$D$802,"&gt;"&amp;D544)</x:f>
        <x:v>46</x:v>
      </x:c>
      <x:c r="F544" s="102" t="n">
        <x:v>671126</x:v>
      </x:c>
      <x:c r="G544" s="126" t="n">
        <x:f>D544/F544*100000</x:f>
        <x:v>127.8448458262681</x:v>
      </x:c>
      <x:c r="H544" s="127" t="n">
        <x:f>1+COUNTIFS($C$4:$C$802,C544,$G$4:$G$802,"&gt;"&amp;G544)</x:f>
        <x:v>26</x:v>
      </x:c>
      <x:c r="I544" s="128" t="n">
        <x:f>D544/SUMIF($C$4:$C$802,C544,$D$4:$D$802)</x:f>
        <x:v>0.005252300176913141</x:v>
      </x:c>
      <x:c r="J544" s="103" t="n">
        <x:f>(D544/SUMIF($A$4:$A$802,A544,$D$4:$D$802))/(SUMIF($C$4:$C$802,C544,$D$4:$D$802)/SUM($D$4:$D$802))</x:f>
        <x:v>0.8297696052662715</x:v>
      </x:c>
    </x:row>
    <x:row r="545">
      <x:c r="A545" s="101" t="str">
        <x:v>島根県</x:v>
      </x:c>
      <x:c r="B545" s="101" t="str">
        <x:v>P</x:v>
      </x:c>
      <x:c r="C545" s="101" t="str">
        <x:v>医療，福祉</x:v>
      </x:c>
      <x:c r="D545" s="102" t="n">
        <x:v>2950</x:v>
      </x:c>
      <x:c r="E545" s="102" t="n">
        <x:f>1+COUNTIFS($C$4:$C$802,C545,$D$4:$D$802,"&gt;"&amp;D545)</x:f>
        <x:v>44</x:v>
      </x:c>
      <x:c r="F545" s="102" t="n">
        <x:v>671126</x:v>
      </x:c>
      <x:c r="G545" s="126" t="n">
        <x:f>D545/F545*100000</x:f>
        <x:v>439.5597846008052</x:v>
      </x:c>
      <x:c r="H545" s="127" t="n">
        <x:f>1+COUNTIFS($C$4:$C$802,C545,$G$4:$G$802,"&gt;"&amp;G545)</x:f>
        <x:v>5</x:v>
      </x:c>
      <x:c r="I545" s="128" t="n">
        <x:f>D545/SUMIF($C$4:$C$802,C545,$D$4:$D$802)</x:f>
        <x:v>0.006377950883292147</x:v>
      </x:c>
      <x:c r="J545" s="103" t="n">
        <x:f>(D545/SUMIF($A$4:$A$802,A545,$D$4:$D$802))/(SUMIF($C$4:$C$802,C545,$D$4:$D$802)/SUM($D$4:$D$802))</x:f>
        <x:v>1.0076023091938584</x:v>
      </x:c>
    </x:row>
    <x:row r="546">
      <x:c r="A546" s="101" t="str">
        <x:v>島根県</x:v>
      </x:c>
      <x:c r="B546" s="101" t="str">
        <x:v>Q</x:v>
      </x:c>
      <x:c r="C546" s="101" t="str">
        <x:v>複合サービス事業</x:v>
      </x:c>
      <x:c r="D546" s="102" t="n">
        <x:v>512</x:v>
      </x:c>
      <x:c r="E546" s="102" t="n">
        <x:f>1+COUNTIFS($C$4:$C$802,C546,$D$4:$D$802,"&gt;"&amp;D546)</x:f>
        <x:v>28</x:v>
      </x:c>
      <x:c r="F546" s="102" t="n">
        <x:v>671126</x:v>
      </x:c>
      <x:c r="G546" s="126" t="n">
        <x:f>D546/F546*100000</x:f>
        <x:v>76.28969820868213</x:v>
      </x:c>
      <x:c r="H546" s="127" t="n">
        <x:f>1+COUNTIFS($C$4:$C$802,C546,$G$4:$G$802,"&gt;"&amp;G546)</x:f>
        <x:v>1</x:v>
      </x:c>
      <x:c r="I546" s="128" t="n">
        <x:f>D546/SUMIF($C$4:$C$802,C546,$D$4:$D$802)</x:f>
        <x:v>0.015934767047399708</x:v>
      </x:c>
      <x:c r="J546" s="103" t="n">
        <x:f>(D546/SUMIF($A$4:$A$802,A546,$D$4:$D$802))/(SUMIF($C$4:$C$802,C546,$D$4:$D$802)/SUM($D$4:$D$802))</x:f>
        <x:v>2.517408548172837</x:v>
      </x:c>
    </x:row>
    <x:row r="547">
      <x:c r="A547" s="101" t="str">
        <x:v>島根県</x:v>
      </x:c>
      <x:c r="B547" s="101" t="str">
        <x:v>R</x:v>
      </x:c>
      <x:c r="C547" s="101" t="str">
        <x:v>サービス業（他に分類されないもの）</x:v>
      </x:c>
      <x:c r="D547" s="102" t="n">
        <x:v>3016</x:v>
      </x:c>
      <x:c r="E547" s="102" t="n">
        <x:f>1+COUNTIFS($C$4:$C$802,C547,$D$4:$D$802,"&gt;"&amp;D547)</x:f>
        <x:v>44</x:v>
      </x:c>
      <x:c r="F547" s="102" t="n">
        <x:v>671126</x:v>
      </x:c>
      <x:c r="G547" s="126" t="n">
        <x:f>D547/F547*100000</x:f>
        <x:v>449.3940035105182</x:v>
      </x:c>
      <x:c r="H547" s="127" t="n">
        <x:f>1+COUNTIFS($C$4:$C$802,C547,$G$4:$G$802,"&gt;"&amp;G547)</x:f>
        <x:v>1</x:v>
      </x:c>
      <x:c r="I547" s="128" t="n">
        <x:f>D547/SUMIF($C$4:$C$802,C547,$D$4:$D$802)</x:f>
        <x:v>0.008168748578052719</x:v>
      </x:c>
      <x:c r="J547" s="103" t="n">
        <x:f>(D547/SUMIF($A$4:$A$802,A547,$D$4:$D$802))/(SUMIF($C$4:$C$802,C547,$D$4:$D$802)/SUM($D$4:$D$802))</x:f>
        <x:v>1.2905163556576962</x:v>
      </x:c>
    </x:row>
    <x:row r="548">
      <x:c r="A548" s="101" t="str">
        <x:v>岡山県</x:v>
      </x:c>
      <x:c r="B548" s="101" t="str">
        <x:v>AB</x:v>
      </x:c>
      <x:c r="C548" s="101" t="str">
        <x:v>農林漁業</x:v>
      </x:c>
      <x:c r="D548" s="102" t="n">
        <x:v>639</x:v>
      </x:c>
      <x:c r="E548" s="102" t="n">
        <x:f>1+COUNTIFS($C$4:$C$802,C548,$D$4:$D$802,"&gt;"&amp;D548)</x:f>
        <x:v>32</x:v>
      </x:c>
      <x:c r="F548" s="102" t="n">
        <x:v>1888432</x:v>
      </x:c>
      <x:c r="G548" s="126" t="n">
        <x:f>D548/F548*100000</x:f>
        <x:v>33.83759648216086</x:v>
      </x:c>
      <x:c r="H548" s="127" t="n">
        <x:f>1+COUNTIFS($C$4:$C$802,C548,$G$4:$G$802,"&gt;"&amp;G548)</x:f>
        <x:v>35</x:v>
      </x:c>
      <x:c r="I548" s="128" t="n">
        <x:f>D548/SUMIF($C$4:$C$802,C548,$D$4:$D$802)</x:f>
        <x:v>0.015050167224080268</x:v>
      </x:c>
      <x:c r="J548" s="103" t="n">
        <x:f>(D548/SUMIF($A$4:$A$802,A548,$D$4:$D$802))/(SUMIF($C$4:$C$802,C548,$D$4:$D$802)/SUM($D$4:$D$802))</x:f>
        <x:v>0.9866949414832666</x:v>
      </x:c>
    </x:row>
    <x:row r="549">
      <x:c r="A549" s="101" t="str">
        <x:v>岡山県</x:v>
      </x:c>
      <x:c r="B549" s="101" t="str">
        <x:v>C</x:v>
      </x:c>
      <x:c r="C549" s="101" t="str">
        <x:v>鉱業，採石業，砂利採取業</x:v>
      </x:c>
      <x:c r="D549" s="102" t="n">
        <x:v>44</x:v>
      </x:c>
      <x:c r="E549" s="102" t="n">
        <x:f>1+COUNTIFS($C$4:$C$802,C549,$D$4:$D$802,"&gt;"&amp;D549)</x:f>
        <x:v>16</x:v>
      </x:c>
      <x:c r="F549" s="102" t="n">
        <x:v>1888432</x:v>
      </x:c>
      <x:c r="G549" s="126" t="n">
        <x:f>D549/F549*100000</x:f>
        <x:v>2.3299753446245353</x:v>
      </x:c>
      <x:c r="H549" s="127" t="n">
        <x:f>1+COUNTIFS($C$4:$C$802,C549,$G$4:$G$802,"&gt;"&amp;G549)</x:f>
        <x:v>20</x:v>
      </x:c>
      <x:c r="I549" s="128" t="n">
        <x:f>D549/SUMIF($C$4:$C$802,C549,$D$4:$D$802)</x:f>
        <x:v>0.02359249329758713</x:v>
      </x:c>
      <x:c r="J549" s="103" t="n">
        <x:f>(D549/SUMIF($A$4:$A$802,A549,$D$4:$D$802))/(SUMIF($C$4:$C$802,C549,$D$4:$D$802)/SUM($D$4:$D$802))</x:f>
        <x:v>1.54673323207076</x:v>
      </x:c>
    </x:row>
    <x:row r="550">
      <x:c r="A550" s="101" t="str">
        <x:v>岡山県</x:v>
      </x:c>
      <x:c r="B550" s="101" t="str">
        <x:v>D</x:v>
      </x:c>
      <x:c r="C550" s="101" t="str">
        <x:v>建設業</x:v>
      </x:c>
      <x:c r="D550" s="102" t="n">
        <x:v>8253</x:v>
      </x:c>
      <x:c r="E550" s="102" t="n">
        <x:f>1+COUNTIFS($C$4:$C$802,C550,$D$4:$D$802,"&gt;"&amp;D550)</x:f>
        <x:v>21</x:v>
      </x:c>
      <x:c r="F550" s="102" t="n">
        <x:v>1888432</x:v>
      </x:c>
      <x:c r="G550" s="126" t="n">
        <x:f>D550/F550*100000</x:f>
        <x:v>437.02923907241563</x:v>
      </x:c>
      <x:c r="H550" s="127" t="n">
        <x:f>1+COUNTIFS($C$4:$C$802,C550,$G$4:$G$802,"&gt;"&amp;G550)</x:f>
        <x:v>25</x:v>
      </x:c>
      <x:c r="I550" s="128" t="n">
        <x:f>D550/SUMIF($C$4:$C$802,C550,$D$4:$D$802)</x:f>
        <x:v>0.017011759613303513</x:v>
      </x:c>
      <x:c r="J550" s="103" t="n">
        <x:f>(D550/SUMIF($A$4:$A$802,A550,$D$4:$D$802))/(SUMIF($C$4:$C$802,C550,$D$4:$D$802)/SUM($D$4:$D$802))</x:f>
        <x:v>1.1152977177103547</x:v>
      </x:c>
    </x:row>
    <x:row r="551">
      <x:c r="A551" s="101" t="str">
        <x:v>岡山県</x:v>
      </x:c>
      <x:c r="B551" s="101" t="str">
        <x:v>E</x:v>
      </x:c>
      <x:c r="C551" s="101" t="str">
        <x:v>製造業</x:v>
      </x:c>
      <x:c r="D551" s="102" t="n">
        <x:v>6376</x:v>
      </x:c>
      <x:c r="E551" s="102" t="n">
        <x:f>1+COUNTIFS($C$4:$C$802,C551,$D$4:$D$802,"&gt;"&amp;D551)</x:f>
        <x:v>21</x:v>
      </x:c>
      <x:c r="F551" s="102" t="n">
        <x:v>1888432</x:v>
      </x:c>
      <x:c r="G551" s="126" t="n">
        <x:f>D551/F551*100000</x:f>
        <x:v>337.63460903013714</x:v>
      </x:c>
      <x:c r="H551" s="127" t="n">
        <x:f>1+COUNTIFS($C$4:$C$802,C551,$G$4:$G$802,"&gt;"&amp;G551)</x:f>
        <x:v>22</x:v>
      </x:c>
      <x:c r="I551" s="128" t="n">
        <x:f>D551/SUMIF($C$4:$C$802,C551,$D$4:$D$802)</x:f>
        <x:v>0.015452586781446231</x:v>
      </x:c>
      <x:c r="J551" s="103" t="n">
        <x:f>(D551/SUMIF($A$4:$A$802,A551,$D$4:$D$802))/(SUMIF($C$4:$C$802,C551,$D$4:$D$802)/SUM($D$4:$D$802))</x:f>
        <x:v>1.0130777275144827</x:v>
      </x:c>
    </x:row>
    <x:row r="552">
      <x:c r="A552" s="101" t="str">
        <x:v>岡山県</x:v>
      </x:c>
      <x:c r="B552" s="101" t="str">
        <x:v>F</x:v>
      </x:c>
      <x:c r="C552" s="101" t="str">
        <x:v>電気・ガス・熱供給・水道業</x:v>
      </x:c>
      <x:c r="D552" s="102" t="n">
        <x:v>207</x:v>
      </x:c>
      <x:c r="E552" s="102" t="n">
        <x:f>1+COUNTIFS($C$4:$C$802,C552,$D$4:$D$802,"&gt;"&amp;D552)</x:f>
        <x:v>17</x:v>
      </x:c>
      <x:c r="F552" s="102" t="n">
        <x:v>1888432</x:v>
      </x:c>
      <x:c r="G552" s="126" t="n">
        <x:f>D552/F552*100000</x:f>
        <x:v>10.961474916756336</x:v>
      </x:c>
      <x:c r="H552" s="127" t="n">
        <x:f>1+COUNTIFS($C$4:$C$802,C552,$G$4:$G$802,"&gt;"&amp;G552)</x:f>
        <x:v>14</x:v>
      </x:c>
      <x:c r="I552" s="128" t="n">
        <x:f>D552/SUMIF($C$4:$C$802,C552,$D$4:$D$802)</x:f>
        <x:v>0.022650180544917388</x:v>
      </x:c>
      <x:c r="J552" s="103" t="n">
        <x:f>(D552/SUMIF($A$4:$A$802,A552,$D$4:$D$802))/(SUMIF($C$4:$C$802,C552,$D$4:$D$802)/SUM($D$4:$D$802))</x:f>
        <x:v>1.4849548336974336</x:v>
      </x:c>
    </x:row>
    <x:row r="553">
      <x:c r="A553" s="101" t="str">
        <x:v>岡山県</x:v>
      </x:c>
      <x:c r="B553" s="101" t="str">
        <x:v>G</x:v>
      </x:c>
      <x:c r="C553" s="101" t="str">
        <x:v>情報通信業</x:v>
      </x:c>
      <x:c r="D553" s="102" t="n">
        <x:v>713</x:v>
      </x:c>
      <x:c r="E553" s="102" t="n">
        <x:f>1+COUNTIFS($C$4:$C$802,C553,$D$4:$D$802,"&gt;"&amp;D553)</x:f>
        <x:v>18</x:v>
      </x:c>
      <x:c r="F553" s="102" t="n">
        <x:v>1888432</x:v>
      </x:c>
      <x:c r="G553" s="126" t="n">
        <x:f>D553/F553*100000</x:f>
        <x:v>37.75619137993849</x:v>
      </x:c>
      <x:c r="H553" s="127" t="n">
        <x:f>1+COUNTIFS($C$4:$C$802,C553,$G$4:$G$802,"&gt;"&amp;G553)</x:f>
        <x:v>20</x:v>
      </x:c>
      <x:c r="I553" s="128" t="n">
        <x:f>D553/SUMIF($C$4:$C$802,C553,$D$4:$D$802)</x:f>
        <x:v>0.009313078801969722</x:v>
      </x:c>
      <x:c r="J553" s="103" t="n">
        <x:f>(D553/SUMIF($A$4:$A$802,A553,$D$4:$D$802))/(SUMIF($C$4:$C$802,C553,$D$4:$D$802)/SUM($D$4:$D$802))</x:f>
        <x:v>0.6105691456262291</x:v>
      </x:c>
    </x:row>
    <x:row r="554">
      <x:c r="A554" s="101" t="str">
        <x:v>岡山県</x:v>
      </x:c>
      <x:c r="B554" s="101" t="str">
        <x:v>H</x:v>
      </x:c>
      <x:c r="C554" s="101" t="str">
        <x:v>運輸業，郵便業</x:v>
      </x:c>
      <x:c r="D554" s="102" t="n">
        <x:v>2297</x:v>
      </x:c>
      <x:c r="E554" s="102" t="n">
        <x:f>1+COUNTIFS($C$4:$C$802,C554,$D$4:$D$802,"&gt;"&amp;D554)</x:f>
        <x:v>14</x:v>
      </x:c>
      <x:c r="F554" s="102" t="n">
        <x:v>1888432</x:v>
      </x:c>
      <x:c r="G554" s="126" t="n">
        <x:f>D554/F554*100000</x:f>
        <x:v>121.63530378642174</x:v>
      </x:c>
      <x:c r="H554" s="127" t="n">
        <x:f>1+COUNTIFS($C$4:$C$802,C554,$G$4:$G$802,"&gt;"&amp;G554)</x:f>
        <x:v>7</x:v>
      </x:c>
      <x:c r="I554" s="128" t="n">
        <x:f>D554/SUMIF($C$4:$C$802,C554,$D$4:$D$802)</x:f>
        <x:v>0.017913963064636884</x:v>
      </x:c>
      <x:c r="J554" s="103" t="n">
        <x:f>(D554/SUMIF($A$4:$A$802,A554,$D$4:$D$802))/(SUMIF($C$4:$C$802,C554,$D$4:$D$802)/SUM($D$4:$D$802))</x:f>
        <x:v>1.1744465343557315</x:v>
      </x:c>
    </x:row>
    <x:row r="555">
      <x:c r="A555" s="101" t="str">
        <x:v>岡山県</x:v>
      </x:c>
      <x:c r="B555" s="101" t="str">
        <x:v>I</x:v>
      </x:c>
      <x:c r="C555" s="101" t="str">
        <x:v>卸売業，小売業</x:v>
      </x:c>
      <x:c r="D555" s="102" t="n">
        <x:v>19505</x:v>
      </x:c>
      <x:c r="E555" s="102" t="n">
        <x:f>1+COUNTIFS($C$4:$C$802,C555,$D$4:$D$802,"&gt;"&amp;D555)</x:f>
        <x:v>21</x:v>
      </x:c>
      <x:c r="F555" s="102" t="n">
        <x:v>1888432</x:v>
      </x:c>
      <x:c r="G555" s="126" t="n">
        <x:f>D555/F555*100000</x:f>
        <x:v>1032.8674794750355</x:v>
      </x:c>
      <x:c r="H555" s="127" t="n">
        <x:f>1+COUNTIFS($C$4:$C$802,C555,$G$4:$G$802,"&gt;"&amp;G555)</x:f>
        <x:v>31</x:v>
      </x:c>
      <x:c r="I555" s="128" t="n">
        <x:f>D555/SUMIF($C$4:$C$802,C555,$D$4:$D$802)</x:f>
        <x:v>0.01587165966865215</x:v>
      </x:c>
      <x:c r="J555" s="103" t="n">
        <x:f>(D555/SUMIF($A$4:$A$802,A555,$D$4:$D$802))/(SUMIF($C$4:$C$802,C555,$D$4:$D$802)/SUM($D$4:$D$802))</x:f>
        <x:v>1.0405523124650917</x:v>
      </x:c>
    </x:row>
    <x:row r="556">
      <x:c r="A556" s="101" t="str">
        <x:v>岡山県</x:v>
      </x:c>
      <x:c r="B556" s="101" t="str">
        <x:v>J</x:v>
      </x:c>
      <x:c r="C556" s="101" t="str">
        <x:v>金融業，保険業</x:v>
      </x:c>
      <x:c r="D556" s="102" t="n">
        <x:v>1320</x:v>
      </x:c>
      <x:c r="E556" s="102" t="n">
        <x:f>1+COUNTIFS($C$4:$C$802,C556,$D$4:$D$802,"&gt;"&amp;D556)</x:f>
        <x:v>20</x:v>
      </x:c>
      <x:c r="F556" s="102" t="n">
        <x:v>1888432</x:v>
      </x:c>
      <x:c r="G556" s="126" t="n">
        <x:f>D556/F556*100000</x:f>
        <x:v>69.89926033873606</x:v>
      </x:c>
      <x:c r="H556" s="127" t="n">
        <x:f>1+COUNTIFS($C$4:$C$802,C556,$G$4:$G$802,"&gt;"&amp;G556)</x:f>
        <x:v>32</x:v>
      </x:c>
      <x:c r="I556" s="128" t="n">
        <x:f>D556/SUMIF($C$4:$C$802,C556,$D$4:$D$802)</x:f>
        <x:v>0.015742021657205552</x:v>
      </x:c>
      <x:c r="J556" s="103" t="n">
        <x:f>(D556/SUMIF($A$4:$A$802,A556,$D$4:$D$802))/(SUMIF($C$4:$C$802,C556,$D$4:$D$802)/SUM($D$4:$D$802))</x:f>
        <x:v>1.0320531929394532</x:v>
      </x:c>
    </x:row>
    <x:row r="557">
      <x:c r="A557" s="101" t="str">
        <x:v>岡山県</x:v>
      </x:c>
      <x:c r="B557" s="101" t="str">
        <x:v>K</x:v>
      </x:c>
      <x:c r="C557" s="101" t="str">
        <x:v>不動産業，物品賃貸業</x:v>
      </x:c>
      <x:c r="D557" s="102" t="n">
        <x:v>5299</x:v>
      </x:c>
      <x:c r="E557" s="102" t="n">
        <x:f>1+COUNTIFS($C$4:$C$802,C557,$D$4:$D$802,"&gt;"&amp;D557)</x:f>
        <x:v>17</x:v>
      </x:c>
      <x:c r="F557" s="102" t="n">
        <x:v>1888432</x:v>
      </x:c>
      <x:c r="G557" s="126" t="n">
        <x:f>D557/F557*100000</x:f>
        <x:v>280.60316707194113</x:v>
      </x:c>
      <x:c r="H557" s="127" t="n">
        <x:f>1+COUNTIFS($C$4:$C$802,C557,$G$4:$G$802,"&gt;"&amp;G557)</x:f>
        <x:v>16</x:v>
      </x:c>
      <x:c r="I557" s="128" t="n">
        <x:f>D557/SUMIF($C$4:$C$802,C557,$D$4:$D$802)</x:f>
        <x:v>0.014151195334031235</x:v>
      </x:c>
      <x:c r="J557" s="103" t="n">
        <x:f>(D557/SUMIF($A$4:$A$802,A557,$D$4:$D$802))/(SUMIF($C$4:$C$802,C557,$D$4:$D$802)/SUM($D$4:$D$802))</x:f>
        <x:v>0.9277579872793414</x:v>
      </x:c>
    </x:row>
    <x:row r="558">
      <x:c r="A558" s="101" t="str">
        <x:v>岡山県</x:v>
      </x:c>
      <x:c r="B558" s="101" t="str">
        <x:v>L</x:v>
      </x:c>
      <x:c r="C558" s="101" t="str">
        <x:v>学術研究，専門・技術サービス業</x:v>
      </x:c>
      <x:c r="D558" s="102" t="n">
        <x:v>3465</x:v>
      </x:c>
      <x:c r="E558" s="102" t="n">
        <x:f>1+COUNTIFS($C$4:$C$802,C558,$D$4:$D$802,"&gt;"&amp;D558)</x:f>
        <x:v>18</x:v>
      </x:c>
      <x:c r="F558" s="102" t="n">
        <x:v>1888432</x:v>
      </x:c>
      <x:c r="G558" s="126" t="n">
        <x:f>D558/F558*100000</x:f>
        <x:v>183.48555838918213</x:v>
      </x:c>
      <x:c r="H558" s="127" t="n">
        <x:f>1+COUNTIFS($C$4:$C$802,C558,$G$4:$G$802,"&gt;"&amp;G558)</x:f>
        <x:v>22</x:v>
      </x:c>
      <x:c r="I558" s="128" t="n">
        <x:f>D558/SUMIF($C$4:$C$802,C558,$D$4:$D$802)</x:f>
        <x:v>0.013731473408892764</x:v>
      </x:c>
      <x:c r="J558" s="103" t="n">
        <x:f>(D558/SUMIF($A$4:$A$802,A558,$D$4:$D$802))/(SUMIF($C$4:$C$802,C558,$D$4:$D$802)/SUM($D$4:$D$802))</x:f>
        <x:v>0.9002408511440614</x:v>
      </x:c>
    </x:row>
    <x:row r="559">
      <x:c r="A559" s="101" t="str">
        <x:v>岡山県</x:v>
      </x:c>
      <x:c r="B559" s="101" t="str">
        <x:v>M</x:v>
      </x:c>
      <x:c r="C559" s="101" t="str">
        <x:v>宿泊業，飲食サービス業</x:v>
      </x:c>
      <x:c r="D559" s="102" t="n">
        <x:v>7637</x:v>
      </x:c>
      <x:c r="E559" s="102" t="n">
        <x:f>1+COUNTIFS($C$4:$C$802,C559,$D$4:$D$802,"&gt;"&amp;D559)</x:f>
        <x:v>25</x:v>
      </x:c>
      <x:c r="F559" s="102" t="n">
        <x:v>1888432</x:v>
      </x:c>
      <x:c r="G559" s="126" t="n">
        <x:f>D559/F559*100000</x:f>
        <x:v>404.4095842476721</x:v>
      </x:c>
      <x:c r="H559" s="127" t="n">
        <x:f>1+COUNTIFS($C$4:$C$802,C559,$G$4:$G$802,"&gt;"&amp;G559)</x:f>
        <x:v>41</x:v>
      </x:c>
      <x:c r="I559" s="128" t="n">
        <x:f>D559/SUMIF($C$4:$C$802,C559,$D$4:$D$802)</x:f>
        <x:v>0.012748348240070243</x:v>
      </x:c>
      <x:c r="J559" s="103" t="n">
        <x:f>(D559/SUMIF($A$4:$A$802,A559,$D$4:$D$802))/(SUMIF($C$4:$C$802,C559,$D$4:$D$802)/SUM($D$4:$D$802))</x:f>
        <x:v>0.8357867745561287</x:v>
      </x:c>
    </x:row>
    <x:row r="560">
      <x:c r="A560" s="101" t="str">
        <x:v>岡山県</x:v>
      </x:c>
      <x:c r="B560" s="101" t="str">
        <x:v>N</x:v>
      </x:c>
      <x:c r="C560" s="101" t="str">
        <x:v>生活関連サービス業，娯楽業</x:v>
      </x:c>
      <x:c r="D560" s="102" t="n">
        <x:v>6744</x:v>
      </x:c>
      <x:c r="E560" s="102" t="n">
        <x:f>1+COUNTIFS($C$4:$C$802,C560,$D$4:$D$802,"&gt;"&amp;D560)</x:f>
        <x:v>21</x:v>
      </x:c>
      <x:c r="F560" s="102" t="n">
        <x:v>1888432</x:v>
      </x:c>
      <x:c r="G560" s="126" t="n">
        <x:f>D560/F560*100000</x:f>
        <x:v>357.1216755488151</x:v>
      </x:c>
      <x:c r="H560" s="127" t="n">
        <x:f>1+COUNTIFS($C$4:$C$802,C560,$G$4:$G$802,"&gt;"&amp;G560)</x:f>
        <x:v>34</x:v>
      </x:c>
      <x:c r="I560" s="128" t="n">
        <x:f>D560/SUMIF($C$4:$C$802,C560,$D$4:$D$802)</x:f>
        <x:v>0.015531690959883375</x:v>
      </x:c>
      <x:c r="J560" s="103" t="n">
        <x:f>(D560/SUMIF($A$4:$A$802,A560,$D$4:$D$802))/(SUMIF($C$4:$C$802,C560,$D$4:$D$802)/SUM($D$4:$D$802))</x:f>
        <x:v>1.0182638288748207</x:v>
      </x:c>
    </x:row>
    <x:row r="561">
      <x:c r="A561" s="101" t="str">
        <x:v>岡山県</x:v>
      </x:c>
      <x:c r="B561" s="101" t="str">
        <x:v>O</x:v>
      </x:c>
      <x:c r="C561" s="101" t="str">
        <x:v>教育，学習支援業</x:v>
      </x:c>
      <x:c r="D561" s="102" t="n">
        <x:v>2183</x:v>
      </x:c>
      <x:c r="E561" s="102" t="n">
        <x:f>1+COUNTIFS($C$4:$C$802,C561,$D$4:$D$802,"&gt;"&amp;D561)</x:f>
        <x:v>22</x:v>
      </x:c>
      <x:c r="F561" s="102" t="n">
        <x:v>1888432</x:v>
      </x:c>
      <x:c r="G561" s="126" t="n">
        <x:f>D561/F561*100000</x:f>
        <x:v>115.59854948444</x:v>
      </x:c>
      <x:c r="H561" s="127" t="n">
        <x:f>1+COUNTIFS($C$4:$C$802,C561,$G$4:$G$802,"&gt;"&amp;G561)</x:f>
        <x:v>39</x:v>
      </x:c>
      <x:c r="I561" s="128" t="n">
        <x:f>D561/SUMIF($C$4:$C$802,C561,$D$4:$D$802)</x:f>
        <x:v>0.013363369797437514</x:v>
      </x:c>
      <x:c r="J561" s="103" t="n">
        <x:f>(D561/SUMIF($A$4:$A$802,A561,$D$4:$D$802))/(SUMIF($C$4:$C$802,C561,$D$4:$D$802)/SUM($D$4:$D$802))</x:f>
        <x:v>0.8761078321578346</x:v>
      </x:c>
    </x:row>
    <x:row r="562">
      <x:c r="A562" s="101" t="str">
        <x:v>岡山県</x:v>
      </x:c>
      <x:c r="B562" s="101" t="str">
        <x:v>P</x:v>
      </x:c>
      <x:c r="C562" s="101" t="str">
        <x:v>医療，福祉</x:v>
      </x:c>
      <x:c r="D562" s="102" t="n">
        <x:v>6999</x:v>
      </x:c>
      <x:c r="E562" s="102" t="n">
        <x:f>1+COUNTIFS($C$4:$C$802,C562,$D$4:$D$802,"&gt;"&amp;D562)</x:f>
        <x:v>21</x:v>
      </x:c>
      <x:c r="F562" s="102" t="n">
        <x:v>1888432</x:v>
      </x:c>
      <x:c r="G562" s="126" t="n">
        <x:f>D562/F562*100000</x:f>
        <x:v>370.62494175061636</x:v>
      </x:c>
      <x:c r="H562" s="127" t="n">
        <x:f>1+COUNTIFS($C$4:$C$802,C562,$G$4:$G$802,"&gt;"&amp;G562)</x:f>
        <x:v>25</x:v>
      </x:c>
      <x:c r="I562" s="128" t="n">
        <x:f>D562/SUMIF($C$4:$C$802,C562,$D$4:$D$802)</x:f>
        <x:v>0.01513195872276669</x:v>
      </x:c>
      <x:c r="J562" s="103" t="n">
        <x:f>(D562/SUMIF($A$4:$A$802,A562,$D$4:$D$802))/(SUMIF($C$4:$C$802,C562,$D$4:$D$802)/SUM($D$4:$D$802))</x:f>
        <x:v>0.9920572246266127</x:v>
      </x:c>
    </x:row>
    <x:row r="563">
      <x:c r="A563" s="101" t="str">
        <x:v>岡山県</x:v>
      </x:c>
      <x:c r="B563" s="101" t="str">
        <x:v>Q</x:v>
      </x:c>
      <x:c r="C563" s="101" t="str">
        <x:v>複合サービス事業</x:v>
      </x:c>
      <x:c r="D563" s="102" t="n">
        <x:v>710</x:v>
      </x:c>
      <x:c r="E563" s="102" t="n">
        <x:f>1+COUNTIFS($C$4:$C$802,C563,$D$4:$D$802,"&gt;"&amp;D563)</x:f>
        <x:v>17</x:v>
      </x:c>
      <x:c r="F563" s="102" t="n">
        <x:v>1888432</x:v>
      </x:c>
      <x:c r="G563" s="126" t="n">
        <x:f>D563/F563*100000</x:f>
        <x:v>37.59732942462318</x:v>
      </x:c>
      <x:c r="H563" s="127" t="n">
        <x:f>1+COUNTIFS($C$4:$C$802,C563,$G$4:$G$802,"&gt;"&amp;G563)</x:f>
        <x:v>25</x:v>
      </x:c>
      <x:c r="I563" s="128" t="n">
        <x:f>D563/SUMIF($C$4:$C$802,C563,$D$4:$D$802)</x:f>
        <x:v>0.022097040241511313</x:v>
      </x:c>
      <x:c r="J563" s="103" t="n">
        <x:f>(D563/SUMIF($A$4:$A$802,A563,$D$4:$D$802))/(SUMIF($C$4:$C$802,C563,$D$4:$D$802)/SUM($D$4:$D$802))</x:f>
        <x:v>1.4486907356860812</x:v>
      </x:c>
    </x:row>
    <x:row r="564">
      <x:c r="A564" s="101" t="str">
        <x:v>岡山県</x:v>
      </x:c>
      <x:c r="B564" s="101" t="str">
        <x:v>R</x:v>
      </x:c>
      <x:c r="C564" s="101" t="str">
        <x:v>サービス業（他に分類されないもの）</x:v>
      </x:c>
      <x:c r="D564" s="102" t="n">
        <x:v>6255</x:v>
      </x:c>
      <x:c r="E564" s="102" t="n">
        <x:f>1+COUNTIFS($C$4:$C$802,C564,$D$4:$D$802,"&gt;"&amp;D564)</x:f>
        <x:v>18</x:v>
      </x:c>
      <x:c r="F564" s="102" t="n">
        <x:v>1888432</x:v>
      </x:c>
      <x:c r="G564" s="126" t="n">
        <x:f>D564/F564*100000</x:f>
        <x:v>331.22717683241973</x:v>
      </x:c>
      <x:c r="H564" s="127" t="n">
        <x:f>1+COUNTIFS($C$4:$C$802,C564,$G$4:$G$802,"&gt;"&amp;G564)</x:f>
        <x:v>24</x:v>
      </x:c>
      <x:c r="I564" s="128" t="n">
        <x:f>D564/SUMIF($C$4:$C$802,C564,$D$4:$D$802)</x:f>
        <x:v>0.01694148619221477</x:v>
      </x:c>
      <x:c r="J564" s="103" t="n">
        <x:f>(D564/SUMIF($A$4:$A$802,A564,$D$4:$D$802))/(SUMIF($C$4:$C$802,C564,$D$4:$D$802)/SUM($D$4:$D$802))</x:f>
        <x:v>1.1106905643095577</x:v>
      </x:c>
    </x:row>
    <x:row r="565">
      <x:c r="A565" s="101" t="str">
        <x:v>広島県</x:v>
      </x:c>
      <x:c r="B565" s="101" t="str">
        <x:v>AB</x:v>
      </x:c>
      <x:c r="C565" s="101" t="str">
        <x:v>農林漁業</x:v>
      </x:c>
      <x:c r="D565" s="102" t="n">
        <x:v>974</x:v>
      </x:c>
      <x:c r="E565" s="102" t="n">
        <x:f>1+COUNTIFS($C$4:$C$802,C565,$D$4:$D$802,"&gt;"&amp;D565)</x:f>
        <x:v>13</x:v>
      </x:c>
      <x:c r="F565" s="102" t="n">
        <x:v>2799702</x:v>
      </x:c>
      <x:c r="G565" s="126" t="n">
        <x:f>D565/F565*100000</x:f>
        <x:v>34.78941687365298</x:v>
      </x:c>
      <x:c r="H565" s="127" t="n">
        <x:f>1+COUNTIFS($C$4:$C$802,C565,$G$4:$G$802,"&gt;"&amp;G565)</x:f>
        <x:v>34</x:v>
      </x:c>
      <x:c r="I565" s="128" t="n">
        <x:f>D565/SUMIF($C$4:$C$802,C565,$D$4:$D$802)</x:f>
        <x:v>0.022940317490225636</x:v>
      </x:c>
      <x:c r="J565" s="103" t="n">
        <x:f>(D565/SUMIF($A$4:$A$802,A565,$D$4:$D$802))/(SUMIF($C$4:$C$802,C565,$D$4:$D$802)/SUM($D$4:$D$802))</x:f>
        <x:v>0.9682921060914843</x:v>
      </x:c>
    </x:row>
    <x:row r="566">
      <x:c r="A566" s="101" t="str">
        <x:v>広島県</x:v>
      </x:c>
      <x:c r="B566" s="101" t="str">
        <x:v>C</x:v>
      </x:c>
      <x:c r="C566" s="101" t="str">
        <x:v>鉱業，採石業，砂利採取業</x:v>
      </x:c>
      <x:c r="D566" s="102" t="n">
        <x:v>20</x:v>
      </x:c>
      <x:c r="E566" s="102" t="n">
        <x:f>1+COUNTIFS($C$4:$C$802,C566,$D$4:$D$802,"&gt;"&amp;D566)</x:f>
        <x:v>38</x:v>
      </x:c>
      <x:c r="F566" s="102" t="n">
        <x:v>2799702</x:v>
      </x:c>
      <x:c r="G566" s="126" t="n">
        <x:f>D566/F566*100000</x:f>
        <x:v>0.7143617427854821</x:v>
      </x:c>
      <x:c r="H566" s="127" t="n">
        <x:f>1+COUNTIFS($C$4:$C$802,C566,$G$4:$G$802,"&gt;"&amp;G566)</x:f>
        <x:v>41</x:v>
      </x:c>
      <x:c r="I566" s="128" t="n">
        <x:f>D566/SUMIF($C$4:$C$802,C566,$D$4:$D$802)</x:f>
        <x:v>0.010723860589812333</x:v>
      </x:c>
      <x:c r="J566" s="103" t="n">
        <x:f>(D566/SUMIF($A$4:$A$802,A566,$D$4:$D$802))/(SUMIF($C$4:$C$802,C566,$D$4:$D$802)/SUM($D$4:$D$802))</x:f>
        <x:v>0.45264541610486303</x:v>
      </x:c>
    </x:row>
    <x:row r="567">
      <x:c r="A567" s="101" t="str">
        <x:v>広島県</x:v>
      </x:c>
      <x:c r="B567" s="101" t="str">
        <x:v>D</x:v>
      </x:c>
      <x:c r="C567" s="101" t="str">
        <x:v>建設業</x:v>
      </x:c>
      <x:c r="D567" s="102" t="n">
        <x:v>11370</x:v>
      </x:c>
      <x:c r="E567" s="102" t="n">
        <x:f>1+COUNTIFS($C$4:$C$802,C567,$D$4:$D$802,"&gt;"&amp;D567)</x:f>
        <x:v>13</x:v>
      </x:c>
      <x:c r="F567" s="102" t="n">
        <x:v>2799702</x:v>
      </x:c>
      <x:c r="G567" s="126" t="n">
        <x:f>D567/F567*100000</x:f>
        <x:v>406.11465077354666</x:v>
      </x:c>
      <x:c r="H567" s="127" t="n">
        <x:f>1+COUNTIFS($C$4:$C$802,C567,$G$4:$G$802,"&gt;"&amp;G567)</x:f>
        <x:v>33</x:v>
      </x:c>
      <x:c r="I567" s="128" t="n">
        <x:f>D567/SUMIF($C$4:$C$802,C567,$D$4:$D$802)</x:f>
        <x:v>0.023436775330578086</x:v>
      </x:c>
      <x:c r="J567" s="103" t="n">
        <x:f>(D567/SUMIF($A$4:$A$802,A567,$D$4:$D$802))/(SUMIF($C$4:$C$802,C567,$D$4:$D$802)/SUM($D$4:$D$802))</x:f>
        <x:v>0.9892471869453271</x:v>
      </x:c>
    </x:row>
    <x:row r="568">
      <x:c r="A568" s="101" t="str">
        <x:v>広島県</x:v>
      </x:c>
      <x:c r="B568" s="101" t="str">
        <x:v>E</x:v>
      </x:c>
      <x:c r="C568" s="101" t="str">
        <x:v>製造業</x:v>
      </x:c>
      <x:c r="D568" s="102" t="n">
        <x:v>9429</x:v>
      </x:c>
      <x:c r="E568" s="102" t="n">
        <x:f>1+COUNTIFS($C$4:$C$802,C568,$D$4:$D$802,"&gt;"&amp;D568)</x:f>
        <x:v>17</x:v>
      </x:c>
      <x:c r="F568" s="102" t="n">
        <x:v>2799702</x:v>
      </x:c>
      <x:c r="G568" s="126" t="n">
        <x:f>D568/F568*100000</x:f>
        <x:v>336.7858436362156</x:v>
      </x:c>
      <x:c r="H568" s="127" t="n">
        <x:f>1+COUNTIFS($C$4:$C$802,C568,$G$4:$G$802,"&gt;"&amp;G568)</x:f>
        <x:v>23</x:v>
      </x:c>
      <x:c r="I568" s="128" t="n">
        <x:f>D568/SUMIF($C$4:$C$802,C568,$D$4:$D$802)</x:f>
        <x:v>0.022851700245021412</x:v>
      </x:c>
      <x:c r="J568" s="103" t="n">
        <x:f>(D568/SUMIF($A$4:$A$802,A568,$D$4:$D$802))/(SUMIF($C$4:$C$802,C568,$D$4:$D$802)/SUM($D$4:$D$802))</x:f>
        <x:v>0.9645516443898804</x:v>
      </x:c>
    </x:row>
    <x:row r="569">
      <x:c r="A569" s="101" t="str">
        <x:v>広島県</x:v>
      </x:c>
      <x:c r="B569" s="101" t="str">
        <x:v>F</x:v>
      </x:c>
      <x:c r="C569" s="101" t="str">
        <x:v>電気・ガス・熱供給・水道業</x:v>
      </x:c>
      <x:c r="D569" s="102" t="n">
        <x:v>232</x:v>
      </x:c>
      <x:c r="E569" s="102" t="n">
        <x:f>1+COUNTIFS($C$4:$C$802,C569,$D$4:$D$802,"&gt;"&amp;D569)</x:f>
        <x:v>14</x:v>
      </x:c>
      <x:c r="F569" s="102" t="n">
        <x:v>2799702</x:v>
      </x:c>
      <x:c r="G569" s="126" t="n">
        <x:f>D569/F569*100000</x:f>
        <x:v>8.286596216311594</x:v>
      </x:c>
      <x:c r="H569" s="127" t="n">
        <x:f>1+COUNTIFS($C$4:$C$802,C569,$G$4:$G$802,"&gt;"&amp;G569)</x:f>
        <x:v>26</x:v>
      </x:c>
      <x:c r="I569" s="128" t="n">
        <x:f>D569/SUMIF($C$4:$C$802,C569,$D$4:$D$802)</x:f>
        <x:v>0.02538570959623591</x:v>
      </x:c>
      <x:c r="J569" s="103" t="n">
        <x:f>(D569/SUMIF($A$4:$A$802,A569,$D$4:$D$802))/(SUMIF($C$4:$C$802,C569,$D$4:$D$802)/SUM($D$4:$D$802))</x:f>
        <x:v>1.0715101140182304</x:v>
      </x:c>
    </x:row>
    <x:row r="570">
      <x:c r="A570" s="101" t="str">
        <x:v>広島県</x:v>
      </x:c>
      <x:c r="B570" s="101" t="str">
        <x:v>G</x:v>
      </x:c>
      <x:c r="C570" s="101" t="str">
        <x:v>情報通信業</x:v>
      </x:c>
      <x:c r="D570" s="102" t="n">
        <x:v>1264</x:v>
      </x:c>
      <x:c r="E570" s="102" t="n">
        <x:f>1+COUNTIFS($C$4:$C$802,C570,$D$4:$D$802,"&gt;"&amp;D570)</x:f>
        <x:v>11</x:v>
      </x:c>
      <x:c r="F570" s="102" t="n">
        <x:v>2799702</x:v>
      </x:c>
      <x:c r="G570" s="126" t="n">
        <x:f>D570/F570*100000</x:f>
        <x:v>45.14766214404248</x:v>
      </x:c>
      <x:c r="H570" s="127" t="n">
        <x:f>1+COUNTIFS($C$4:$C$802,C570,$G$4:$G$802,"&gt;"&amp;G570)</x:f>
        <x:v>12</x:v>
      </x:c>
      <x:c r="I570" s="128" t="n">
        <x:f>D570/SUMIF($C$4:$C$802,C570,$D$4:$D$802)</x:f>
        <x:v>0.016510142504473673</x:v>
      </x:c>
      <x:c r="J570" s="103" t="n">
        <x:f>(D570/SUMIF($A$4:$A$802,A570,$D$4:$D$802))/(SUMIF($C$4:$C$802,C570,$D$4:$D$802)/SUM($D$4:$D$802))</x:f>
        <x:v>0.6968796602025626</x:v>
      </x:c>
    </x:row>
    <x:row r="571">
      <x:c r="A571" s="101" t="str">
        <x:v>広島県</x:v>
      </x:c>
      <x:c r="B571" s="101" t="str">
        <x:v>H</x:v>
      </x:c>
      <x:c r="C571" s="101" t="str">
        <x:v>運輸業，郵便業</x:v>
      </x:c>
      <x:c r="D571" s="102" t="n">
        <x:v>3441</x:v>
      </x:c>
      <x:c r="E571" s="102" t="n">
        <x:f>1+COUNTIFS($C$4:$C$802,C571,$D$4:$D$802,"&gt;"&amp;D571)</x:f>
        <x:v>12</x:v>
      </x:c>
      <x:c r="F571" s="102" t="n">
        <x:v>2799702</x:v>
      </x:c>
      <x:c r="G571" s="126" t="n">
        <x:f>D571/F571*100000</x:f>
        <x:v>122.9059378462422</x:v>
      </x:c>
      <x:c r="H571" s="127" t="n">
        <x:f>1+COUNTIFS($C$4:$C$802,C571,$G$4:$G$802,"&gt;"&amp;G571)</x:f>
        <x:v>5</x:v>
      </x:c>
      <x:c r="I571" s="128" t="n">
        <x:f>D571/SUMIF($C$4:$C$802,C571,$D$4:$D$802)</x:f>
        <x:v>0.0268358497629149</x:v>
      </x:c>
      <x:c r="J571" s="103" t="n">
        <x:f>(D571/SUMIF($A$4:$A$802,A571,$D$4:$D$802))/(SUMIF($C$4:$C$802,C571,$D$4:$D$802)/SUM($D$4:$D$802))</x:f>
        <x:v>1.1327193486646006</x:v>
      </x:c>
    </x:row>
    <x:row r="572">
      <x:c r="A572" s="101" t="str">
        <x:v>広島県</x:v>
      </x:c>
      <x:c r="B572" s="101" t="str">
        <x:v>I</x:v>
      </x:c>
      <x:c r="C572" s="101" t="str">
        <x:v>卸売業，小売業</x:v>
      </x:c>
      <x:c r="D572" s="102" t="n">
        <x:v>30092</x:v>
      </x:c>
      <x:c r="E572" s="102" t="n">
        <x:f>1+COUNTIFS($C$4:$C$802,C572,$D$4:$D$802,"&gt;"&amp;D572)</x:f>
        <x:v>11</x:v>
      </x:c>
      <x:c r="F572" s="102" t="n">
        <x:v>2799702</x:v>
      </x:c>
      <x:c r="G572" s="126" t="n">
        <x:f>D572/F572*100000</x:f>
        <x:v>1074.8286781950364</x:v>
      </x:c>
      <x:c r="H572" s="127" t="n">
        <x:f>1+COUNTIFS($C$4:$C$802,C572,$G$4:$G$802,"&gt;"&amp;G572)</x:f>
        <x:v>28</x:v>
      </x:c>
      <x:c r="I572" s="128" t="n">
        <x:f>D572/SUMIF($C$4:$C$802,C572,$D$4:$D$802)</x:f>
        <x:v>0.024486541027894413</x:v>
      </x:c>
      <x:c r="J572" s="103" t="n">
        <x:f>(D572/SUMIF($A$4:$A$802,A572,$D$4:$D$802))/(SUMIF($C$4:$C$802,C572,$D$4:$D$802)/SUM($D$4:$D$802))</x:f>
        <x:v>1.033556941524361</x:v>
      </x:c>
    </x:row>
    <x:row r="573">
      <x:c r="A573" s="101" t="str">
        <x:v>広島県</x:v>
      </x:c>
      <x:c r="B573" s="101" t="str">
        <x:v>J</x:v>
      </x:c>
      <x:c r="C573" s="101" t="str">
        <x:v>金融業，保険業</x:v>
      </x:c>
      <x:c r="D573" s="102" t="n">
        <x:v>1998</x:v>
      </x:c>
      <x:c r="E573" s="102" t="n">
        <x:f>1+COUNTIFS($C$4:$C$802,C573,$D$4:$D$802,"&gt;"&amp;D573)</x:f>
        <x:v>11</x:v>
      </x:c>
      <x:c r="F573" s="102" t="n">
        <x:v>2799702</x:v>
      </x:c>
      <x:c r="G573" s="126" t="n">
        <x:f>D573/F573*100000</x:f>
        <x:v>71.36473810426968</x:v>
      </x:c>
      <x:c r="H573" s="127" t="n">
        <x:f>1+COUNTIFS($C$4:$C$802,C573,$G$4:$G$802,"&gt;"&amp;G573)</x:f>
        <x:v>30</x:v>
      </x:c>
      <x:c r="I573" s="128" t="n">
        <x:f>D573/SUMIF($C$4:$C$802,C573,$D$4:$D$802)</x:f>
        <x:v>0.023827696417497497</x:v>
      </x:c>
      <x:c r="J573" s="103" t="n">
        <x:f>(D573/SUMIF($A$4:$A$802,A573,$D$4:$D$802))/(SUMIF($C$4:$C$802,C573,$D$4:$D$802)/SUM($D$4:$D$802))</x:f>
        <x:v>1.005747647443751</x:v>
      </x:c>
    </x:row>
    <x:row r="574">
      <x:c r="A574" s="101" t="str">
        <x:v>広島県</x:v>
      </x:c>
      <x:c r="B574" s="101" t="str">
        <x:v>K</x:v>
      </x:c>
      <x:c r="C574" s="101" t="str">
        <x:v>不動産業，物品賃貸業</x:v>
      </x:c>
      <x:c r="D574" s="102" t="n">
        <x:v>9555</x:v>
      </x:c>
      <x:c r="E574" s="102" t="n">
        <x:f>1+COUNTIFS($C$4:$C$802,C574,$D$4:$D$802,"&gt;"&amp;D574)</x:f>
        <x:v>11</x:v>
      </x:c>
      <x:c r="F574" s="102" t="n">
        <x:v>2799702</x:v>
      </x:c>
      <x:c r="G574" s="126" t="n">
        <x:f>D574/F574*100000</x:f>
        <x:v>341.2863226157641</x:v>
      </x:c>
      <x:c r="H574" s="127" t="n">
        <x:f>1+COUNTIFS($C$4:$C$802,C574,$G$4:$G$802,"&gt;"&amp;G574)</x:f>
        <x:v>4</x:v>
      </x:c>
      <x:c r="I574" s="128" t="n">
        <x:f>D574/SUMIF($C$4:$C$802,C574,$D$4:$D$802)</x:f>
        <x:v>0.025517016685538487</x:v>
      </x:c>
      <x:c r="J574" s="103" t="n">
        <x:f>(D574/SUMIF($A$4:$A$802,A574,$D$4:$D$802))/(SUMIF($C$4:$C$802,C574,$D$4:$D$802)/SUM($D$4:$D$802))</x:f>
        <x:v>1.0770524792492133</x:v>
      </x:c>
    </x:row>
    <x:row r="575">
      <x:c r="A575" s="101" t="str">
        <x:v>広島県</x:v>
      </x:c>
      <x:c r="B575" s="101" t="str">
        <x:v>L</x:v>
      </x:c>
      <x:c r="C575" s="101" t="str">
        <x:v>学術研究，専門・技術サービス業</x:v>
      </x:c>
      <x:c r="D575" s="102" t="n">
        <x:v>5729</x:v>
      </x:c>
      <x:c r="E575" s="102" t="n">
        <x:f>1+COUNTIFS($C$4:$C$802,C575,$D$4:$D$802,"&gt;"&amp;D575)</x:f>
        <x:v>11</x:v>
      </x:c>
      <x:c r="F575" s="102" t="n">
        <x:v>2799702</x:v>
      </x:c>
      <x:c r="G575" s="126" t="n">
        <x:f>D575/F575*100000</x:f>
        <x:v>204.62892122090136</x:v>
      </x:c>
      <x:c r="H575" s="127" t="n">
        <x:f>1+COUNTIFS($C$4:$C$802,C575,$G$4:$G$802,"&gt;"&amp;G575)</x:f>
        <x:v>7</x:v>
      </x:c>
      <x:c r="I575" s="128" t="n">
        <x:f>D575/SUMIF($C$4:$C$802,C575,$D$4:$D$802)</x:f>
        <x:v>0.022703495284140444</x:v>
      </x:c>
      <x:c r="J575" s="103" t="n">
        <x:f>(D575/SUMIF($A$4:$A$802,A575,$D$4:$D$802))/(SUMIF($C$4:$C$802,C575,$D$4:$D$802)/SUM($D$4:$D$802))</x:f>
        <x:v>0.9582960337704641</x:v>
      </x:c>
    </x:row>
    <x:row r="576">
      <x:c r="A576" s="101" t="str">
        <x:v>広島県</x:v>
      </x:c>
      <x:c r="B576" s="101" t="str">
        <x:v>M</x:v>
      </x:c>
      <x:c r="C576" s="101" t="str">
        <x:v>宿泊業，飲食サービス業</x:v>
      </x:c>
      <x:c r="D576" s="102" t="n">
        <x:v>13344</x:v>
      </x:c>
      <x:c r="E576" s="102" t="n">
        <x:f>1+COUNTIFS($C$4:$C$802,C576,$D$4:$D$802,"&gt;"&amp;D576)</x:f>
        <x:v>13</x:v>
      </x:c>
      <x:c r="F576" s="102" t="n">
        <x:v>2799702</x:v>
      </x:c>
      <x:c r="G576" s="126" t="n">
        <x:f>D576/F576*100000</x:f>
        <x:v>476.62215478647374</x:v>
      </x:c>
      <x:c r="H576" s="127" t="n">
        <x:f>1+COUNTIFS($C$4:$C$802,C576,$G$4:$G$802,"&gt;"&amp;G576)</x:f>
        <x:v>31</x:v>
      </x:c>
      <x:c r="I576" s="128" t="n">
        <x:f>D576/SUMIF($C$4:$C$802,C576,$D$4:$D$802)</x:f>
        <x:v>0.022274971705577757</x:v>
      </x:c>
      <x:c r="J576" s="103" t="n">
        <x:f>(D576/SUMIF($A$4:$A$802,A576,$D$4:$D$802))/(SUMIF($C$4:$C$802,C576,$D$4:$D$802)/SUM($D$4:$D$802))</x:f>
        <x:v>0.9402084027438612</x:v>
      </x:c>
    </x:row>
    <x:row r="577">
      <x:c r="A577" s="101" t="str">
        <x:v>広島県</x:v>
      </x:c>
      <x:c r="B577" s="101" t="str">
        <x:v>N</x:v>
      </x:c>
      <x:c r="C577" s="101" t="str">
        <x:v>生活関連サービス業，娯楽業</x:v>
      </x:c>
      <x:c r="D577" s="102" t="n">
        <x:v>10200</x:v>
      </x:c>
      <x:c r="E577" s="102" t="n">
        <x:f>1+COUNTIFS($C$4:$C$802,C577,$D$4:$D$802,"&gt;"&amp;D577)</x:f>
        <x:v>12</x:v>
      </x:c>
      <x:c r="F577" s="102" t="n">
        <x:v>2799702</x:v>
      </x:c>
      <x:c r="G577" s="126" t="n">
        <x:f>D577/F577*100000</x:f>
        <x:v>364.32448882059595</x:v>
      </x:c>
      <x:c r="H577" s="127" t="n">
        <x:f>1+COUNTIFS($C$4:$C$802,C577,$G$4:$G$802,"&gt;"&amp;G577)</x:f>
        <x:v>31</x:v>
      </x:c>
      <x:c r="I577" s="128" t="n">
        <x:f>D577/SUMIF($C$4:$C$802,C577,$D$4:$D$802)</x:f>
        <x:v>0.023490991665304037</x:v>
      </x:c>
      <x:c r="J577" s="103" t="n">
        <x:f>(D577/SUMIF($A$4:$A$802,A577,$D$4:$D$802))/(SUMIF($C$4:$C$802,C577,$D$4:$D$802)/SUM($D$4:$D$802))</x:f>
        <x:v>0.991535614250604</x:v>
      </x:c>
    </x:row>
    <x:row r="578">
      <x:c r="A578" s="101" t="str">
        <x:v>広島県</x:v>
      </x:c>
      <x:c r="B578" s="101" t="str">
        <x:v>O</x:v>
      </x:c>
      <x:c r="C578" s="101" t="str">
        <x:v>教育，学習支援業</x:v>
      </x:c>
      <x:c r="D578" s="102" t="n">
        <x:v>3994</x:v>
      </x:c>
      <x:c r="E578" s="102" t="n">
        <x:f>1+COUNTIFS($C$4:$C$802,C578,$D$4:$D$802,"&gt;"&amp;D578)</x:f>
        <x:v>11</x:v>
      </x:c>
      <x:c r="F578" s="102" t="n">
        <x:v>2799702</x:v>
      </x:c>
      <x:c r="G578" s="126" t="n">
        <x:f>D578/F578*100000</x:f>
        <x:v>142.65804003426078</x:v>
      </x:c>
      <x:c r="H578" s="127" t="n">
        <x:f>1+COUNTIFS($C$4:$C$802,C578,$G$4:$G$802,"&gt;"&amp;G578)</x:f>
        <x:v>12</x:v>
      </x:c>
      <x:c r="I578" s="128" t="n">
        <x:f>D578/SUMIF($C$4:$C$802,C578,$D$4:$D$802)</x:f>
        <x:v>0.02444951853915045</x:v>
      </x:c>
      <x:c r="J578" s="103" t="n">
        <x:f>(D578/SUMIF($A$4:$A$802,A578,$D$4:$D$802))/(SUMIF($C$4:$C$802,C578,$D$4:$D$802)/SUM($D$4:$D$802))</x:f>
        <x:v>1.03199425244589</x:v>
      </x:c>
    </x:row>
    <x:row r="579">
      <x:c r="A579" s="101" t="str">
        <x:v>広島県</x:v>
      </x:c>
      <x:c r="B579" s="101" t="str">
        <x:v>P</x:v>
      </x:c>
      <x:c r="C579" s="101" t="str">
        <x:v>医療，福祉</x:v>
      </x:c>
      <x:c r="D579" s="102" t="n">
        <x:v>10739</x:v>
      </x:c>
      <x:c r="E579" s="102" t="n">
        <x:f>1+COUNTIFS($C$4:$C$802,C579,$D$4:$D$802,"&gt;"&amp;D579)</x:f>
        <x:v>11</x:v>
      </x:c>
      <x:c r="F579" s="102" t="n">
        <x:v>2799702</x:v>
      </x:c>
      <x:c r="G579" s="126" t="n">
        <x:f>D579/F579*100000</x:f>
        <x:v>383.57653778866467</x:v>
      </x:c>
      <x:c r="H579" s="127" t="n">
        <x:f>1+COUNTIFS($C$4:$C$802,C579,$G$4:$G$802,"&gt;"&amp;G579)</x:f>
        <x:v>21</x:v>
      </x:c>
      <x:c r="I579" s="128" t="n">
        <x:f>D579/SUMIF($C$4:$C$802,C579,$D$4:$D$802)</x:f>
        <x:v>0.02321790323243199</x:v>
      </x:c>
      <x:c r="J579" s="103" t="n">
        <x:f>(D579/SUMIF($A$4:$A$802,A579,$D$4:$D$802))/(SUMIF($C$4:$C$802,C579,$D$4:$D$802)/SUM($D$4:$D$802))</x:f>
        <x:v>0.9800087740520075</x:v>
      </x:c>
    </x:row>
    <x:row r="580">
      <x:c r="A580" s="101" t="str">
        <x:v>広島県</x:v>
      </x:c>
      <x:c r="B580" s="101" t="str">
        <x:v>Q</x:v>
      </x:c>
      <x:c r="C580" s="101" t="str">
        <x:v>複合サービス事業</x:v>
      </x:c>
      <x:c r="D580" s="102" t="n">
        <x:v>959</x:v>
      </x:c>
      <x:c r="E580" s="102" t="n">
        <x:f>1+COUNTIFS($C$4:$C$802,C580,$D$4:$D$802,"&gt;"&amp;D580)</x:f>
        <x:v>8</x:v>
      </x:c>
      <x:c r="F580" s="102" t="n">
        <x:v>2799702</x:v>
      </x:c>
      <x:c r="G580" s="126" t="n">
        <x:f>D580/F580*100000</x:f>
        <x:v>34.25364556656387</x:v>
      </x:c>
      <x:c r="H580" s="127" t="n">
        <x:f>1+COUNTIFS($C$4:$C$802,C580,$G$4:$G$802,"&gt;"&amp;G580)</x:f>
        <x:v>29</x:v>
      </x:c>
      <x:c r="I580" s="128" t="n">
        <x:f>D580/SUMIF($C$4:$C$802,C580,$D$4:$D$802)</x:f>
        <x:v>0.029846565621985</x:v>
      </x:c>
      <x:c r="J580" s="103" t="n">
        <x:f>(D580/SUMIF($A$4:$A$802,A580,$D$4:$D$802))/(SUMIF($C$4:$C$802,C580,$D$4:$D$802)/SUM($D$4:$D$802))</x:f>
        <x:v>1.2597992114984145</x:v>
      </x:c>
    </x:row>
    <x:row r="581">
      <x:c r="A581" s="101" t="str">
        <x:v>広島県</x:v>
      </x:c>
      <x:c r="B581" s="101" t="str">
        <x:v>R</x:v>
      </x:c>
      <x:c r="C581" s="101" t="str">
        <x:v>サービス業（他に分類されないもの）</x:v>
      </x:c>
      <x:c r="D581" s="102" t="n">
        <x:v>8815</x:v>
      </x:c>
      <x:c r="E581" s="102" t="n">
        <x:f>1+COUNTIFS($C$4:$C$802,C581,$D$4:$D$802,"&gt;"&amp;D581)</x:f>
        <x:v>11</x:v>
      </x:c>
      <x:c r="F581" s="102" t="n">
        <x:v>2799702</x:v>
      </x:c>
      <x:c r="G581" s="126" t="n">
        <x:f>D581/F581*100000</x:f>
        <x:v>314.85493813270125</x:v>
      </x:c>
      <x:c r="H581" s="127" t="n">
        <x:f>1+COUNTIFS($C$4:$C$802,C581,$G$4:$G$802,"&gt;"&amp;G581)</x:f>
        <x:v>31</x:v>
      </x:c>
      <x:c r="I581" s="128" t="n">
        <x:f>D581/SUMIF($C$4:$C$802,C581,$D$4:$D$802)</x:f>
        <x:v>0.023875171987909387</x:v>
      </x:c>
      <x:c r="J581" s="103" t="n">
        <x:f>(D581/SUMIF($A$4:$A$802,A581,$D$4:$D$802))/(SUMIF($C$4:$C$802,C581,$D$4:$D$802)/SUM($D$4:$D$802))</x:f>
        <x:v>1.007751552580705</x:v>
      </x:c>
    </x:row>
    <x:row r="582">
      <x:c r="A582" s="101" t="str">
        <x:v>山口県</x:v>
      </x:c>
      <x:c r="B582" s="101" t="str">
        <x:v>AB</x:v>
      </x:c>
      <x:c r="C582" s="101" t="str">
        <x:v>農林漁業</x:v>
      </x:c>
      <x:c r="D582" s="102" t="n">
        <x:v>602</x:v>
      </x:c>
      <x:c r="E582" s="102" t="n">
        <x:f>1+COUNTIFS($C$4:$C$802,C582,$D$4:$D$802,"&gt;"&amp;D582)</x:f>
        <x:v>34</x:v>
      </x:c>
      <x:c r="F582" s="102" t="n">
        <x:v>1342059</x:v>
      </x:c>
      <x:c r="G582" s="126" t="n">
        <x:f>D582/F582*100000</x:f>
        <x:v>44.85644818893953</x:v>
      </x:c>
      <x:c r="H582" s="127" t="n">
        <x:f>1+COUNTIFS($C$4:$C$802,C582,$G$4:$G$802,"&gt;"&amp;G582)</x:f>
        <x:v>28</x:v>
      </x:c>
      <x:c r="I582" s="128" t="n">
        <x:f>D582/SUMIF($C$4:$C$802,C582,$D$4:$D$802)</x:f>
        <x:v>0.014178717791700032</x:v>
      </x:c>
      <x:c r="J582" s="103" t="n">
        <x:f>(D582/SUMIF($A$4:$A$802,A582,$D$4:$D$802))/(SUMIF($C$4:$C$802,C582,$D$4:$D$802)/SUM($D$4:$D$802))</x:f>
        <x:v>1.2950181072987008</x:v>
      </x:c>
    </x:row>
    <x:row r="583">
      <x:c r="A583" s="101" t="str">
        <x:v>山口県</x:v>
      </x:c>
      <x:c r="B583" s="101" t="str">
        <x:v>C</x:v>
      </x:c>
      <x:c r="C583" s="101" t="str">
        <x:v>鉱業，採石業，砂利採取業</x:v>
      </x:c>
      <x:c r="D583" s="102" t="n">
        <x:v>29</x:v>
      </x:c>
      <x:c r="E583" s="102" t="n">
        <x:f>1+COUNTIFS($C$4:$C$802,C583,$D$4:$D$802,"&gt;"&amp;D583)</x:f>
        <x:v>25</x:v>
      </x:c>
      <x:c r="F583" s="102" t="n">
        <x:v>1342059</x:v>
      </x:c>
      <x:c r="G583" s="126" t="n">
        <x:f>D583/F583*100000</x:f>
        <x:v>2.1608587997994126</x:v>
      </x:c>
      <x:c r="H583" s="127" t="n">
        <x:f>1+COUNTIFS($C$4:$C$802,C583,$G$4:$G$802,"&gt;"&amp;G583)</x:f>
        <x:v>25</x:v>
      </x:c>
      <x:c r="I583" s="128" t="n">
        <x:f>D583/SUMIF($C$4:$C$802,C583,$D$4:$D$802)</x:f>
        <x:v>0.015549597855227882</x:v>
      </x:c>
      <x:c r="J583" s="103" t="n">
        <x:f>(D583/SUMIF($A$4:$A$802,A583,$D$4:$D$802))/(SUMIF($C$4:$C$802,C583,$D$4:$D$802)/SUM($D$4:$D$802))</x:f>
        <x:v>1.4202279133816311</x:v>
      </x:c>
    </x:row>
    <x:row r="584">
      <x:c r="A584" s="101" t="str">
        <x:v>山口県</x:v>
      </x:c>
      <x:c r="B584" s="101" t="str">
        <x:v>D</x:v>
      </x:c>
      <x:c r="C584" s="101" t="str">
        <x:v>建設業</x:v>
      </x:c>
      <x:c r="D584" s="102" t="n">
        <x:v>5961</x:v>
      </x:c>
      <x:c r="E584" s="102" t="n">
        <x:f>1+COUNTIFS($C$4:$C$802,C584,$D$4:$D$802,"&gt;"&amp;D584)</x:f>
        <x:v>25</x:v>
      </x:c>
      <x:c r="F584" s="102" t="n">
        <x:v>1342059</x:v>
      </x:c>
      <x:c r="G584" s="126" t="n">
        <x:f>D584/F584*100000</x:f>
        <x:v>444.1682519173896</x:v>
      </x:c>
      <x:c r="H584" s="127" t="n">
        <x:f>1+COUNTIFS($C$4:$C$802,C584,$G$4:$G$802,"&gt;"&amp;G584)</x:f>
        <x:v>22</x:v>
      </x:c>
      <x:c r="I584" s="128" t="n">
        <x:f>D584/SUMIF($C$4:$C$802,C584,$D$4:$D$802)</x:f>
        <x:v>0.012287301472785925</x:v>
      </x:c>
      <x:c r="J584" s="103" t="n">
        <x:f>(D584/SUMIF($A$4:$A$802,A584,$D$4:$D$802))/(SUMIF($C$4:$C$802,C584,$D$4:$D$802)/SUM($D$4:$D$802))</x:f>
        <x:v>1.122264941785535</x:v>
      </x:c>
    </x:row>
    <x:row r="585">
      <x:c r="A585" s="101" t="str">
        <x:v>山口県</x:v>
      </x:c>
      <x:c r="B585" s="101" t="str">
        <x:v>E</x:v>
      </x:c>
      <x:c r="C585" s="101" t="str">
        <x:v>製造業</x:v>
      </x:c>
      <x:c r="D585" s="102" t="n">
        <x:v>3241</x:v>
      </x:c>
      <x:c r="E585" s="102" t="n">
        <x:f>1+COUNTIFS($C$4:$C$802,C585,$D$4:$D$802,"&gt;"&amp;D585)</x:f>
        <x:v>37</x:v>
      </x:c>
      <x:c r="F585" s="102" t="n">
        <x:v>1342059</x:v>
      </x:c>
      <x:c r="G585" s="126" t="n">
        <x:f>D585/F585*100000</x:f>
        <x:v>241.49459897068607</x:v>
      </x:c>
      <x:c r="H585" s="127" t="n">
        <x:f>1+COUNTIFS($C$4:$C$802,C585,$G$4:$G$802,"&gt;"&amp;G585)</x:f>
        <x:v>39</x:v>
      </x:c>
      <x:c r="I585" s="128" t="n">
        <x:f>D585/SUMIF($C$4:$C$802,C585,$D$4:$D$802)</x:f>
        <x:v>0.00785474180656638</x:v>
      </x:c>
      <x:c r="J585" s="103" t="n">
        <x:f>(D585/SUMIF($A$4:$A$802,A585,$D$4:$D$802))/(SUMIF($C$4:$C$802,C585,$D$4:$D$802)/SUM($D$4:$D$802))</x:f>
        <x:v>0.7174155672675914</x:v>
      </x:c>
    </x:row>
    <x:row r="586">
      <x:c r="A586" s="101" t="str">
        <x:v>山口県</x:v>
      </x:c>
      <x:c r="B586" s="101" t="str">
        <x:v>F</x:v>
      </x:c>
      <x:c r="C586" s="101" t="str">
        <x:v>電気・ガス・熱供給・水道業</x:v>
      </x:c>
      <x:c r="D586" s="102" t="n">
        <x:v>100</x:v>
      </x:c>
      <x:c r="E586" s="102" t="n">
        <x:f>1+COUNTIFS($C$4:$C$802,C586,$D$4:$D$802,"&gt;"&amp;D586)</x:f>
        <x:v>34</x:v>
      </x:c>
      <x:c r="F586" s="102" t="n">
        <x:v>1342059</x:v>
      </x:c>
      <x:c r="G586" s="126" t="n">
        <x:f>D586/F586*100000</x:f>
        <x:v>7.45123724068763</x:v>
      </x:c>
      <x:c r="H586" s="127" t="n">
        <x:f>1+COUNTIFS($C$4:$C$802,C586,$G$4:$G$802,"&gt;"&amp;G586)</x:f>
        <x:v>29</x:v>
      </x:c>
      <x:c r="I586" s="128" t="n">
        <x:f>D586/SUMIF($C$4:$C$802,C586,$D$4:$D$802)</x:f>
        <x:v>0.0109421162052741</x:v>
      </x:c>
      <x:c r="J586" s="103" t="n">
        <x:f>(D586/SUMIF($A$4:$A$802,A586,$D$4:$D$802))/(SUMIF($C$4:$C$802,C586,$D$4:$D$802)/SUM($D$4:$D$802))</x:f>
        <x:v>0.9994019788087967</x:v>
      </x:c>
    </x:row>
    <x:row r="587">
      <x:c r="A587" s="101" t="str">
        <x:v>山口県</x:v>
      </x:c>
      <x:c r="B587" s="101" t="str">
        <x:v>G</x:v>
      </x:c>
      <x:c r="C587" s="101" t="str">
        <x:v>情報通信業</x:v>
      </x:c>
      <x:c r="D587" s="102" t="n">
        <x:v>435</x:v>
      </x:c>
      <x:c r="E587" s="102" t="n">
        <x:f>1+COUNTIFS($C$4:$C$802,C587,$D$4:$D$802,"&gt;"&amp;D587)</x:f>
        <x:v>29</x:v>
      </x:c>
      <x:c r="F587" s="102" t="n">
        <x:v>1342059</x:v>
      </x:c>
      <x:c r="G587" s="126" t="n">
        <x:f>D587/F587*100000</x:f>
        <x:v>32.412881996991196</x:v>
      </x:c>
      <x:c r="H587" s="127" t="n">
        <x:f>1+COUNTIFS($C$4:$C$802,C587,$G$4:$G$802,"&gt;"&amp;G587)</x:f>
        <x:v>30</x:v>
      </x:c>
      <x:c r="I587" s="128" t="n">
        <x:f>D587/SUMIF($C$4:$C$802,C587,$D$4:$D$802)</x:f>
        <x:v>0.0056818923967136455</x:v>
      </x:c>
      <x:c r="J587" s="103" t="n">
        <x:f>(D587/SUMIF($A$4:$A$802,A587,$D$4:$D$802))/(SUMIF($C$4:$C$802,C587,$D$4:$D$802)/SUM($D$4:$D$802))</x:f>
        <x:v>0.5189576127803541</x:v>
      </x:c>
    </x:row>
    <x:row r="588">
      <x:c r="A588" s="101" t="str">
        <x:v>山口県</x:v>
      </x:c>
      <x:c r="B588" s="101" t="str">
        <x:v>H</x:v>
      </x:c>
      <x:c r="C588" s="101" t="str">
        <x:v>運輸業，郵便業</x:v>
      </x:c>
      <x:c r="D588" s="102" t="n">
        <x:v>1486</x:v>
      </x:c>
      <x:c r="E588" s="102" t="n">
        <x:f>1+COUNTIFS($C$4:$C$802,C588,$D$4:$D$802,"&gt;"&amp;D588)</x:f>
        <x:v>26</x:v>
      </x:c>
      <x:c r="F588" s="102" t="n">
        <x:v>1342059</x:v>
      </x:c>
      <x:c r="G588" s="126" t="n">
        <x:f>D588/F588*100000</x:f>
        <x:v>110.72538539661818</x:v>
      </x:c>
      <x:c r="H588" s="127" t="n">
        <x:f>1+COUNTIFS($C$4:$C$802,C588,$G$4:$G$802,"&gt;"&amp;G588)</x:f>
        <x:v>12</x:v>
      </x:c>
      <x:c r="I588" s="128" t="n">
        <x:f>D588/SUMIF($C$4:$C$802,C588,$D$4:$D$802)</x:f>
        <x:v>0.011589094085350636</x:v>
      </x:c>
      <x:c r="J588" s="103" t="n">
        <x:f>(D588/SUMIF($A$4:$A$802,A588,$D$4:$D$802))/(SUMIF($C$4:$C$802,C588,$D$4:$D$802)/SUM($D$4:$D$802))</x:f>
        <x:v>1.0584939278855534</x:v>
      </x:c>
    </x:row>
    <x:row r="589">
      <x:c r="A589" s="101" t="str">
        <x:v>山口県</x:v>
      </x:c>
      <x:c r="B589" s="101" t="str">
        <x:v>I</x:v>
      </x:c>
      <x:c r="C589" s="101" t="str">
        <x:v>卸売業，小売業</x:v>
      </x:c>
      <x:c r="D589" s="102" t="n">
        <x:v>14589</x:v>
      </x:c>
      <x:c r="E589" s="102" t="n">
        <x:f>1+COUNTIFS($C$4:$C$802,C589,$D$4:$D$802,"&gt;"&amp;D589)</x:f>
        <x:v>27</x:v>
      </x:c>
      <x:c r="F589" s="102" t="n">
        <x:v>1342059</x:v>
      </x:c>
      <x:c r="G589" s="126" t="n">
        <x:f>D589/F589*100000</x:f>
        <x:v>1087.0610010439184</x:v>
      </x:c>
      <x:c r="H589" s="127" t="n">
        <x:f>1+COUNTIFS($C$4:$C$802,C589,$G$4:$G$802,"&gt;"&amp;G589)</x:f>
        <x:v>25</x:v>
      </x:c>
      <x:c r="I589" s="128" t="n">
        <x:f>D589/SUMIF($C$4:$C$802,C589,$D$4:$D$802)</x:f>
        <x:v>0.011871399277414315</x:v>
      </x:c>
      <x:c r="J589" s="103" t="n">
        <x:f>(D589/SUMIF($A$4:$A$802,A589,$D$4:$D$802))/(SUMIF($C$4:$C$802,C589,$D$4:$D$802)/SUM($D$4:$D$802))</x:f>
        <x:v>1.0842783705183638</x:v>
      </x:c>
    </x:row>
    <x:row r="590">
      <x:c r="A590" s="101" t="str">
        <x:v>山口県</x:v>
      </x:c>
      <x:c r="B590" s="101" t="str">
        <x:v>J</x:v>
      </x:c>
      <x:c r="C590" s="101" t="str">
        <x:v>金融業，保険業</x:v>
      </x:c>
      <x:c r="D590" s="102" t="n">
        <x:v>1067</x:v>
      </x:c>
      <x:c r="E590" s="102" t="n">
        <x:f>1+COUNTIFS($C$4:$C$802,C590,$D$4:$D$802,"&gt;"&amp;D590)</x:f>
        <x:v>26</x:v>
      </x:c>
      <x:c r="F590" s="102" t="n">
        <x:v>1342059</x:v>
      </x:c>
      <x:c r="G590" s="126" t="n">
        <x:f>D590/F590*100000</x:f>
        <x:v>79.50470135813701</x:v>
      </x:c>
      <x:c r="H590" s="127" t="n">
        <x:f>1+COUNTIFS($C$4:$C$802,C590,$G$4:$G$802,"&gt;"&amp;G590)</x:f>
        <x:v>13</x:v>
      </x:c>
      <x:c r="I590" s="128" t="n">
        <x:f>D590/SUMIF($C$4:$C$802,C590,$D$4:$D$802)</x:f>
        <x:v>0.012724800839574488</x:v>
      </x:c>
      <x:c r="J590" s="103" t="n">
        <x:f>(D590/SUMIF($A$4:$A$802,A590,$D$4:$D$802))/(SUMIF($C$4:$C$802,C590,$D$4:$D$802)/SUM($D$4:$D$802))</x:f>
        <x:v>1.1622240981949084</x:v>
      </x:c>
    </x:row>
    <x:row r="591">
      <x:c r="A591" s="101" t="str">
        <x:v>山口県</x:v>
      </x:c>
      <x:c r="B591" s="101" t="str">
        <x:v>K</x:v>
      </x:c>
      <x:c r="C591" s="101" t="str">
        <x:v>不動産業，物品賃貸業</x:v>
      </x:c>
      <x:c r="D591" s="102" t="n">
        <x:v>3074</x:v>
      </x:c>
      <x:c r="E591" s="102" t="n">
        <x:f>1+COUNTIFS($C$4:$C$802,C591,$D$4:$D$802,"&gt;"&amp;D591)</x:f>
        <x:v>31</x:v>
      </x:c>
      <x:c r="F591" s="102" t="n">
        <x:v>1342059</x:v>
      </x:c>
      <x:c r="G591" s="126" t="n">
        <x:f>D591/F591*100000</x:f>
        <x:v>229.05103277873775</x:v>
      </x:c>
      <x:c r="H591" s="127" t="n">
        <x:f>1+COUNTIFS($C$4:$C$802,C591,$G$4:$G$802,"&gt;"&amp;G591)</x:f>
        <x:v>34</x:v>
      </x:c>
      <x:c r="I591" s="128" t="n">
        <x:f>D591/SUMIF($C$4:$C$802,C591,$D$4:$D$802)</x:f>
        <x:v>0.008209242207362147</x:v>
      </x:c>
      <x:c r="J591" s="103" t="n">
        <x:f>(D591/SUMIF($A$4:$A$802,A591,$D$4:$D$802))/(SUMIF($C$4:$C$802,C591,$D$4:$D$802)/SUM($D$4:$D$802))</x:f>
        <x:v>0.7497939843303744</x:v>
      </x:c>
    </x:row>
    <x:row r="592">
      <x:c r="A592" s="101" t="str">
        <x:v>山口県</x:v>
      </x:c>
      <x:c r="B592" s="101" t="str">
        <x:v>L</x:v>
      </x:c>
      <x:c r="C592" s="101" t="str">
        <x:v>学術研究，専門・技術サービス業</x:v>
      </x:c>
      <x:c r="D592" s="102" t="n">
        <x:v>2253</x:v>
      </x:c>
      <x:c r="E592" s="102" t="n">
        <x:f>1+COUNTIFS($C$4:$C$802,C592,$D$4:$D$802,"&gt;"&amp;D592)</x:f>
        <x:v>29</x:v>
      </x:c>
      <x:c r="F592" s="102" t="n">
        <x:v>1342059</x:v>
      </x:c>
      <x:c r="G592" s="126" t="n">
        <x:f>D592/F592*100000</x:f>
        <x:v>167.8763750326923</x:v>
      </x:c>
      <x:c r="H592" s="127" t="n">
        <x:f>1+COUNTIFS($C$4:$C$802,C592,$G$4:$G$802,"&gt;"&amp;G592)</x:f>
        <x:v>35</x:v>
      </x:c>
      <x:c r="I592" s="128" t="n">
        <x:f>D592/SUMIF($C$4:$C$802,C592,$D$4:$D$802)</x:f>
        <x:v>0.008928429896171831</x:v>
      </x:c>
      <x:c r="J592" s="103" t="n">
        <x:f>(D592/SUMIF($A$4:$A$802,A592,$D$4:$D$802))/(SUMIF($C$4:$C$802,C592,$D$4:$D$802)/SUM($D$4:$D$802))</x:f>
        <x:v>0.8154812413332642</x:v>
      </x:c>
    </x:row>
    <x:row r="593">
      <x:c r="A593" s="101" t="str">
        <x:v>山口県</x:v>
      </x:c>
      <x:c r="B593" s="101" t="str">
        <x:v>M</x:v>
      </x:c>
      <x:c r="C593" s="101" t="str">
        <x:v>宿泊業，飲食サービス業</x:v>
      </x:c>
      <x:c r="D593" s="102" t="n">
        <x:v>5986</x:v>
      </x:c>
      <x:c r="E593" s="102" t="n">
        <x:f>1+COUNTIFS($C$4:$C$802,C593,$D$4:$D$802,"&gt;"&amp;D593)</x:f>
        <x:v>34</x:v>
      </x:c>
      <x:c r="F593" s="102" t="n">
        <x:v>1342059</x:v>
      </x:c>
      <x:c r="G593" s="126" t="n">
        <x:f>D593/F593*100000</x:f>
        <x:v>446.0310612275615</x:v>
      </x:c>
      <x:c r="H593" s="127" t="n">
        <x:f>1+COUNTIFS($C$4:$C$802,C593,$G$4:$G$802,"&gt;"&amp;G593)</x:f>
        <x:v>40</x:v>
      </x:c>
      <x:c r="I593" s="128" t="n">
        <x:f>D593/SUMIF($C$4:$C$802,C593,$D$4:$D$802)</x:f>
        <x:v>0.009992354663488343</x:v>
      </x:c>
      <x:c r="J593" s="103" t="n">
        <x:f>(D593/SUMIF($A$4:$A$802,A593,$D$4:$D$802))/(SUMIF($C$4:$C$802,C593,$D$4:$D$802)/SUM($D$4:$D$802))</x:f>
        <x:v>0.9126551789713331</x:v>
      </x:c>
    </x:row>
    <x:row r="594">
      <x:c r="A594" s="101" t="str">
        <x:v>山口県</x:v>
      </x:c>
      <x:c r="B594" s="101" t="str">
        <x:v>N</x:v>
      </x:c>
      <x:c r="C594" s="101" t="str">
        <x:v>生活関連サービス業，娯楽業</x:v>
      </x:c>
      <x:c r="D594" s="102" t="n">
        <x:v>5148</x:v>
      </x:c>
      <x:c r="E594" s="102" t="n">
        <x:f>1+COUNTIFS($C$4:$C$802,C594,$D$4:$D$802,"&gt;"&amp;D594)</x:f>
        <x:v>32</x:v>
      </x:c>
      <x:c r="F594" s="102" t="n">
        <x:v>1342059</x:v>
      </x:c>
      <x:c r="G594" s="126" t="n">
        <x:f>D594/F594*100000</x:f>
        <x:v>383.5896931505992</x:v>
      </x:c>
      <x:c r="H594" s="127" t="n">
        <x:f>1+COUNTIFS($C$4:$C$802,C594,$G$4:$G$802,"&gt;"&amp;G594)</x:f>
        <x:v>27</x:v>
      </x:c>
      <x:c r="I594" s="128" t="n">
        <x:f>D594/SUMIF($C$4:$C$802,C594,$D$4:$D$802)</x:f>
        <x:v>0.01185604167578286</x:v>
      </x:c>
      <x:c r="J594" s="103" t="n">
        <x:f>(D594/SUMIF($A$4:$A$802,A594,$D$4:$D$802))/(SUMIF($C$4:$C$802,C594,$D$4:$D$802)/SUM($D$4:$D$802))</x:f>
        <x:v>1.0828756786466733</x:v>
      </x:c>
    </x:row>
    <x:row r="595">
      <x:c r="A595" s="101" t="str">
        <x:v>山口県</x:v>
      </x:c>
      <x:c r="B595" s="101" t="str">
        <x:v>O</x:v>
      </x:c>
      <x:c r="C595" s="101" t="str">
        <x:v>教育，学習支援業</x:v>
      </x:c>
      <x:c r="D595" s="102" t="n">
        <x:v>1638</x:v>
      </x:c>
      <x:c r="E595" s="102" t="n">
        <x:f>1+COUNTIFS($C$4:$C$802,C595,$D$4:$D$802,"&gt;"&amp;D595)</x:f>
        <x:v>30</x:v>
      </x:c>
      <x:c r="F595" s="102" t="n">
        <x:v>1342059</x:v>
      </x:c>
      <x:c r="G595" s="126" t="n">
        <x:f>D595/F595*100000</x:f>
        <x:v>122.0512660024634</x:v>
      </x:c>
      <x:c r="H595" s="127" t="n">
        <x:f>1+COUNTIFS($C$4:$C$802,C595,$G$4:$G$802,"&gt;"&amp;G595)</x:f>
        <x:v>32</x:v>
      </x:c>
      <x:c r="I595" s="128" t="n">
        <x:f>D595/SUMIF($C$4:$C$802,C595,$D$4:$D$802)</x:f>
        <x:v>0.010027118519561451</x:v>
      </x:c>
      <x:c r="J595" s="103" t="n">
        <x:f>(D595/SUMIF($A$4:$A$802,A595,$D$4:$D$802))/(SUMIF($C$4:$C$802,C595,$D$4:$D$802)/SUM($D$4:$D$802))</x:f>
        <x:v>0.9158303478233824</x:v>
      </x:c>
    </x:row>
    <x:row r="596">
      <x:c r="A596" s="101" t="str">
        <x:v>山口県</x:v>
      </x:c>
      <x:c r="B596" s="101" t="str">
        <x:v>P</x:v>
      </x:c>
      <x:c r="C596" s="101" t="str">
        <x:v>医療，福祉</x:v>
      </x:c>
      <x:c r="D596" s="102" t="n">
        <x:v>5213</x:v>
      </x:c>
      <x:c r="E596" s="102" t="n">
        <x:f>1+COUNTIFS($C$4:$C$802,C596,$D$4:$D$802,"&gt;"&amp;D596)</x:f>
        <x:v>28</x:v>
      </x:c>
      <x:c r="F596" s="102" t="n">
        <x:v>1342059</x:v>
      </x:c>
      <x:c r="G596" s="126" t="n">
        <x:f>D596/F596*100000</x:f>
        <x:v>388.43299735704613</x:v>
      </x:c>
      <x:c r="H596" s="127" t="n">
        <x:f>1+COUNTIFS($C$4:$C$802,C596,$G$4:$G$802,"&gt;"&amp;G596)</x:f>
        <x:v>20</x:v>
      </x:c>
      <x:c r="I596" s="128" t="n">
        <x:f>D596/SUMIF($C$4:$C$802,C596,$D$4:$D$802)</x:f>
        <x:v>0.011270595916814225</x:v>
      </x:c>
      <x:c r="J596" s="103" t="n">
        <x:f>(D596/SUMIF($A$4:$A$802,A596,$D$4:$D$802))/(SUMIF($C$4:$C$802,C596,$D$4:$D$802)/SUM($D$4:$D$802))</x:f>
        <x:v>1.0294037871933128</x:v>
      </x:c>
    </x:row>
    <x:row r="597">
      <x:c r="A597" s="101" t="str">
        <x:v>山口県</x:v>
      </x:c>
      <x:c r="B597" s="101" t="str">
        <x:v>Q</x:v>
      </x:c>
      <x:c r="C597" s="101" t="str">
        <x:v>複合サービス事業</x:v>
      </x:c>
      <x:c r="D597" s="102" t="n">
        <x:v>630</x:v>
      </x:c>
      <x:c r="E597" s="102" t="n">
        <x:f>1+COUNTIFS($C$4:$C$802,C597,$D$4:$D$802,"&gt;"&amp;D597)</x:f>
        <x:v>21</x:v>
      </x:c>
      <x:c r="F597" s="102" t="n">
        <x:v>1342059</x:v>
      </x:c>
      <x:c r="G597" s="126" t="n">
        <x:f>D597/F597*100000</x:f>
        <x:v>46.942794616332066</x:v>
      </x:c>
      <x:c r="H597" s="127" t="n">
        <x:f>1+COUNTIFS($C$4:$C$802,C597,$G$4:$G$802,"&gt;"&amp;G597)</x:f>
        <x:v>8</x:v>
      </x:c>
      <x:c r="I597" s="128" t="n">
        <x:f>D597/SUMIF($C$4:$C$802,C597,$D$4:$D$802)</x:f>
        <x:v>0.019607232890355108</x:v>
      </x:c>
      <x:c r="J597" s="103" t="n">
        <x:f>(D597/SUMIF($A$4:$A$802,A597,$D$4:$D$802))/(SUMIF($C$4:$C$802,C597,$D$4:$D$802)/SUM($D$4:$D$802))</x:f>
        <x:v>1.790833416678648</x:v>
      </x:c>
    </x:row>
    <x:row r="598">
      <x:c r="A598" s="101" t="str">
        <x:v>山口県</x:v>
      </x:c>
      <x:c r="B598" s="101" t="str">
        <x:v>R</x:v>
      </x:c>
      <x:c r="C598" s="101" t="str">
        <x:v>サービス業（他に分類されないもの）</x:v>
      </x:c>
      <x:c r="D598" s="102" t="n">
        <x:v>5000</x:v>
      </x:c>
      <x:c r="E598" s="102" t="n">
        <x:f>1+COUNTIFS($C$4:$C$802,C598,$D$4:$D$802,"&gt;"&amp;D598)</x:f>
        <x:v>25</x:v>
      </x:c>
      <x:c r="F598" s="102" t="n">
        <x:v>1342059</x:v>
      </x:c>
      <x:c r="G598" s="126" t="n">
        <x:f>D598/F598*100000</x:f>
        <x:v>372.5618620343815</x:v>
      </x:c>
      <x:c r="H598" s="127" t="n">
        <x:f>1+COUNTIFS($C$4:$C$802,C598,$G$4:$G$802,"&gt;"&amp;G598)</x:f>
        <x:v>13</x:v>
      </x:c>
      <x:c r="I598" s="128" t="n">
        <x:f>D598/SUMIF($C$4:$C$802,C598,$D$4:$D$802)</x:f>
        <x:v>0.013542355069716044</x:v>
      </x:c>
      <x:c r="J598" s="103" t="n">
        <x:f>(D598/SUMIF($A$4:$A$802,A598,$D$4:$D$802))/(SUMIF($C$4:$C$802,C598,$D$4:$D$802)/SUM($D$4:$D$802))</x:f>
        <x:v>1.2368956973681238</x:v>
      </x:c>
    </x:row>
    <x:row r="599">
      <x:c r="A599" s="101" t="str">
        <x:v>徳島県</x:v>
      </x:c>
      <x:c r="B599" s="101" t="str">
        <x:v>AB</x:v>
      </x:c>
      <x:c r="C599" s="101" t="str">
        <x:v>農林漁業</x:v>
      </x:c>
      <x:c r="D599" s="102" t="n">
        <x:v>441</x:v>
      </x:c>
      <x:c r="E599" s="102" t="n">
        <x:f>1+COUNTIFS($C$4:$C$802,C599,$D$4:$D$802,"&gt;"&amp;D599)</x:f>
        <x:v>42</x:v>
      </x:c>
      <x:c r="F599" s="102" t="n">
        <x:v>719559</x:v>
      </x:c>
      <x:c r="G599" s="126" t="n">
        <x:f>D599/F599*100000</x:f>
        <x:v>61.28753861740316</x:v>
      </x:c>
      <x:c r="H599" s="127" t="n">
        <x:f>1+COUNTIFS($C$4:$C$802,C599,$G$4:$G$802,"&gt;"&amp;G599)</x:f>
        <x:v>17</x:v>
      </x:c>
      <x:c r="I599" s="128" t="n">
        <x:f>D599/SUMIF($C$4:$C$802,C599,$D$4:$D$802)</x:f>
        <x:v>0.010386735126477932</x:v>
      </x:c>
      <x:c r="J599" s="103" t="n">
        <x:f>(D599/SUMIF($A$4:$A$802,A599,$D$4:$D$802))/(SUMIF($C$4:$C$802,C599,$D$4:$D$802)/SUM($D$4:$D$802))</x:f>
        <x:v>1.5696433270738646</x:v>
      </x:c>
    </x:row>
    <x:row r="600">
      <x:c r="A600" s="101" t="str">
        <x:v>徳島県</x:v>
      </x:c>
      <x:c r="B600" s="101" t="str">
        <x:v>C</x:v>
      </x:c>
      <x:c r="C600" s="101" t="str">
        <x:v>鉱業，採石業，砂利採取業</x:v>
      </x:c>
      <x:c r="D600" s="102" t="n">
        <x:v>17</x:v>
      </x:c>
      <x:c r="E600" s="102" t="n">
        <x:f>1+COUNTIFS($C$4:$C$802,C600,$D$4:$D$802,"&gt;"&amp;D600)</x:f>
        <x:v>40</x:v>
      </x:c>
      <x:c r="F600" s="102" t="n">
        <x:v>719559</x:v>
      </x:c>
      <x:c r="G600" s="126" t="n">
        <x:f>D600/F600*100000</x:f>
        <x:v>2.3625581779951332</x:v>
      </x:c>
      <x:c r="H600" s="127" t="n">
        <x:f>1+COUNTIFS($C$4:$C$802,C600,$G$4:$G$802,"&gt;"&amp;G600)</x:f>
        <x:v>19</x:v>
      </x:c>
      <x:c r="I600" s="128" t="n">
        <x:f>D600/SUMIF($C$4:$C$802,C600,$D$4:$D$802)</x:f>
        <x:v>0.009115281501340482</x:v>
      </x:c>
      <x:c r="J600" s="103" t="n">
        <x:f>(D600/SUMIF($A$4:$A$802,A600,$D$4:$D$802))/(SUMIF($C$4:$C$802,C600,$D$4:$D$802)/SUM($D$4:$D$802))</x:f>
        <x:v>1.3775012656773677</x:v>
      </x:c>
    </x:row>
    <x:row r="601">
      <x:c r="A601" s="101" t="str">
        <x:v>徳島県</x:v>
      </x:c>
      <x:c r="B601" s="101" t="str">
        <x:v>D</x:v>
      </x:c>
      <x:c r="C601" s="101" t="str">
        <x:v>建設業</x:v>
      </x:c>
      <x:c r="D601" s="102" t="n">
        <x:v>3226</x:v>
      </x:c>
      <x:c r="E601" s="102" t="n">
        <x:f>1+COUNTIFS($C$4:$C$802,C601,$D$4:$D$802,"&gt;"&amp;D601)</x:f>
        <x:v>45</x:v>
      </x:c>
      <x:c r="F601" s="102" t="n">
        <x:v>719559</x:v>
      </x:c>
      <x:c r="G601" s="126" t="n">
        <x:f>D601/F601*100000</x:f>
        <x:v>448.3301577771941</x:v>
      </x:c>
      <x:c r="H601" s="127" t="n">
        <x:f>1+COUNTIFS($C$4:$C$802,C601,$G$4:$G$802,"&gt;"&amp;G601)</x:f>
        <x:v>21</x:v>
      </x:c>
      <x:c r="I601" s="128" t="n">
        <x:f>D601/SUMIF($C$4:$C$802,C601,$D$4:$D$802)</x:f>
        <x:v>0.006649695445597618</x:v>
      </x:c>
      <x:c r="J601" s="103" t="n">
        <x:f>(D601/SUMIF($A$4:$A$802,A601,$D$4:$D$802))/(SUMIF($C$4:$C$802,C601,$D$4:$D$802)/SUM($D$4:$D$802))</x:f>
        <x:v>1.0049019211675132</x:v>
      </x:c>
    </x:row>
    <x:row r="602">
      <x:c r="A602" s="101" t="str">
        <x:v>徳島県</x:v>
      </x:c>
      <x:c r="B602" s="101" t="str">
        <x:v>E</x:v>
      </x:c>
      <x:c r="C602" s="101" t="str">
        <x:v>製造業</x:v>
      </x:c>
      <x:c r="D602" s="102" t="n">
        <x:v>2327</x:v>
      </x:c>
      <x:c r="E602" s="102" t="n">
        <x:f>1+COUNTIFS($C$4:$C$802,C602,$D$4:$D$802,"&gt;"&amp;D602)</x:f>
        <x:v>44</x:v>
      </x:c>
      <x:c r="F602" s="102" t="n">
        <x:v>719559</x:v>
      </x:c>
      <x:c r="G602" s="126" t="n">
        <x:f>D602/F602*100000</x:f>
        <x:v>323.3925223643926</x:v>
      </x:c>
      <x:c r="H602" s="127" t="n">
        <x:f>1+COUNTIFS($C$4:$C$802,C602,$G$4:$G$802,"&gt;"&amp;G602)</x:f>
        <x:v>27</x:v>
      </x:c>
      <x:c r="I602" s="128" t="n">
        <x:f>D602/SUMIF($C$4:$C$802,C602,$D$4:$D$802)</x:f>
        <x:v>0.005639612522024056</x:v>
      </x:c>
      <x:c r="J602" s="103" t="n">
        <x:f>(D602/SUMIF($A$4:$A$802,A602,$D$4:$D$802))/(SUMIF($C$4:$C$802,C602,$D$4:$D$802)/SUM($D$4:$D$802))</x:f>
        <x:v>0.8522581980463941</x:v>
      </x:c>
    </x:row>
    <x:row r="603">
      <x:c r="A603" s="101" t="str">
        <x:v>徳島県</x:v>
      </x:c>
      <x:c r="B603" s="101" t="str">
        <x:v>F</x:v>
      </x:c>
      <x:c r="C603" s="101" t="str">
        <x:v>電気・ガス・熱供給・水道業</x:v>
      </x:c>
      <x:c r="D603" s="102" t="n">
        <x:v>143</x:v>
      </x:c>
      <x:c r="E603" s="102" t="n">
        <x:f>1+COUNTIFS($C$4:$C$802,C603,$D$4:$D$802,"&gt;"&amp;D603)</x:f>
        <x:v>26</x:v>
      </x:c>
      <x:c r="F603" s="102" t="n">
        <x:v>719559</x:v>
      </x:c>
      <x:c r="G603" s="126" t="n">
        <x:f>D603/F603*100000</x:f>
        <x:v>19.87328349725318</x:v>
      </x:c>
      <x:c r="H603" s="127" t="n">
        <x:f>1+COUNTIFS($C$4:$C$802,C603,$G$4:$G$802,"&gt;"&amp;G603)</x:f>
        <x:v>1</x:v>
      </x:c>
      <x:c r="I603" s="128" t="n">
        <x:f>D603/SUMIF($C$4:$C$802,C603,$D$4:$D$802)</x:f>
        <x:v>0.015647226173541962</x:v>
      </x:c>
      <x:c r="J603" s="103" t="n">
        <x:f>(D603/SUMIF($A$4:$A$802,A603,$D$4:$D$802))/(SUMIF($C$4:$C$802,C603,$D$4:$D$802)/SUM($D$4:$D$802))</x:f>
        <x:v>2.3646086909355875</x:v>
      </x:c>
    </x:row>
    <x:row r="604">
      <x:c r="A604" s="101" t="str">
        <x:v>徳島県</x:v>
      </x:c>
      <x:c r="B604" s="101" t="str">
        <x:v>G</x:v>
      </x:c>
      <x:c r="C604" s="101" t="str">
        <x:v>情報通信業</x:v>
      </x:c>
      <x:c r="D604" s="102" t="n">
        <x:v>249</x:v>
      </x:c>
      <x:c r="E604" s="102" t="n">
        <x:f>1+COUNTIFS($C$4:$C$802,C604,$D$4:$D$802,"&gt;"&amp;D604)</x:f>
        <x:v>45</x:v>
      </x:c>
      <x:c r="F604" s="102" t="n">
        <x:v>719559</x:v>
      </x:c>
      <x:c r="G604" s="126" t="n">
        <x:f>D604/F604*100000</x:f>
        <x:v>34.60452860710519</x:v>
      </x:c>
      <x:c r="H604" s="127" t="n">
        <x:f>1+COUNTIFS($C$4:$C$802,C604,$G$4:$G$802,"&gt;"&amp;G604)</x:f>
        <x:v>26</x:v>
      </x:c>
      <x:c r="I604" s="128" t="n">
        <x:f>D604/SUMIF($C$4:$C$802,C604,$D$4:$D$802)</x:f>
        <x:v>0.003252393578808501</x:v>
      </x:c>
      <x:c r="J604" s="103" t="n">
        <x:f>(D604/SUMIF($A$4:$A$802,A604,$D$4:$D$802))/(SUMIF($C$4:$C$802,C604,$D$4:$D$802)/SUM($D$4:$D$802))</x:f>
        <x:v>0.4915016909385414</x:v>
      </x:c>
    </x:row>
    <x:row r="605">
      <x:c r="A605" s="101" t="str">
        <x:v>徳島県</x:v>
      </x:c>
      <x:c r="B605" s="101" t="str">
        <x:v>H</x:v>
      </x:c>
      <x:c r="C605" s="101" t="str">
        <x:v>運輸業，郵便業</x:v>
      </x:c>
      <x:c r="D605" s="102" t="n">
        <x:v>739</x:v>
      </x:c>
      <x:c r="E605" s="102" t="n">
        <x:f>1+COUNTIFS($C$4:$C$802,C605,$D$4:$D$802,"&gt;"&amp;D605)</x:f>
        <x:v>44</x:v>
      </x:c>
      <x:c r="F605" s="102" t="n">
        <x:v>719559</x:v>
      </x:c>
      <x:c r="G605" s="126" t="n">
        <x:f>D605/F605*100000</x:f>
        <x:v>102.70179373755315</x:v>
      </x:c>
      <x:c r="H605" s="127" t="n">
        <x:f>1+COUNTIFS($C$4:$C$802,C605,$G$4:$G$802,"&gt;"&amp;G605)</x:f>
        <x:v>23</x:v>
      </x:c>
      <x:c r="I605" s="128" t="n">
        <x:f>D605/SUMIF($C$4:$C$802,C605,$D$4:$D$802)</x:f>
        <x:v>0.005763351634639381</x:v>
      </x:c>
      <x:c r="J605" s="103" t="n">
        <x:f>(D605/SUMIF($A$4:$A$802,A605,$D$4:$D$802))/(SUMIF($C$4:$C$802,C605,$D$4:$D$802)/SUM($D$4:$D$802))</x:f>
        <x:v>0.8709576517293482</x:v>
      </x:c>
    </x:row>
    <x:row r="606">
      <x:c r="A606" s="101" t="str">
        <x:v>徳島県</x:v>
      </x:c>
      <x:c r="B606" s="101" t="str">
        <x:v>I</x:v>
      </x:c>
      <x:c r="C606" s="101" t="str">
        <x:v>卸売業，小売業</x:v>
      </x:c>
      <x:c r="D606" s="102" t="n">
        <x:v>8413</x:v>
      </x:c>
      <x:c r="E606" s="102" t="n">
        <x:f>1+COUNTIFS($C$4:$C$802,C606,$D$4:$D$802,"&gt;"&amp;D606)</x:f>
        <x:v>45</x:v>
      </x:c>
      <x:c r="F606" s="102" t="n">
        <x:v>719559</x:v>
      </x:c>
      <x:c r="G606" s="126" t="n">
        <x:f>D606/F606*100000</x:f>
        <x:v>1169.1883500866502</x:v>
      </x:c>
      <x:c r="H606" s="127" t="n">
        <x:f>1+COUNTIFS($C$4:$C$802,C606,$G$4:$G$802,"&gt;"&amp;G606)</x:f>
        <x:v>12</x:v>
      </x:c>
      <x:c r="I606" s="128" t="n">
        <x:f>D606/SUMIF($C$4:$C$802,C606,$D$4:$D$802)</x:f>
        <x:v>0.0068458483872017705</x:v>
      </x:c>
      <x:c r="J606" s="103" t="n">
        <x:f>(D606/SUMIF($A$4:$A$802,A606,$D$4:$D$802))/(SUMIF($C$4:$C$802,C606,$D$4:$D$802)/SUM($D$4:$D$802))</x:f>
        <x:v>1.03454455209299</x:v>
      </x:c>
    </x:row>
    <x:row r="607">
      <x:c r="A607" s="101" t="str">
        <x:v>徳島県</x:v>
      </x:c>
      <x:c r="B607" s="101" t="str">
        <x:v>J</x:v>
      </x:c>
      <x:c r="C607" s="101" t="str">
        <x:v>金融業，保険業</x:v>
      </x:c>
      <x:c r="D607" s="102" t="n">
        <x:v>612</x:v>
      </x:c>
      <x:c r="E607" s="102" t="n">
        <x:f>1+COUNTIFS($C$4:$C$802,C607,$D$4:$D$802,"&gt;"&amp;D607)</x:f>
        <x:v>44</x:v>
      </x:c>
      <x:c r="F607" s="102" t="n">
        <x:v>719559</x:v>
      </x:c>
      <x:c r="G607" s="126" t="n">
        <x:f>D607/F607*100000</x:f>
        <x:v>85.05209440782478</x:v>
      </x:c>
      <x:c r="H607" s="127" t="n">
        <x:f>1+COUNTIFS($C$4:$C$802,C607,$G$4:$G$802,"&gt;"&amp;G607)</x:f>
        <x:v>6</x:v>
      </x:c>
      <x:c r="I607" s="128" t="n">
        <x:f>D607/SUMIF($C$4:$C$802,C607,$D$4:$D$802)</x:f>
        <x:v>0.0072985736774316655</x:v>
      </x:c>
      <x:c r="J607" s="103" t="n">
        <x:f>(D607/SUMIF($A$4:$A$802,A607,$D$4:$D$802))/(SUMIF($C$4:$C$802,C607,$D$4:$D$802)/SUM($D$4:$D$802))</x:f>
        <x:v>1.1029603942372095</x:v>
      </x:c>
    </x:row>
    <x:row r="608">
      <x:c r="A608" s="101" t="str">
        <x:v>徳島県</x:v>
      </x:c>
      <x:c r="B608" s="101" t="str">
        <x:v>K</x:v>
      </x:c>
      <x:c r="C608" s="101" t="str">
        <x:v>不動産業，物品賃貸業</x:v>
      </x:c>
      <x:c r="D608" s="102" t="n">
        <x:v>2233</x:v>
      </x:c>
      <x:c r="E608" s="102" t="n">
        <x:f>1+COUNTIFS($C$4:$C$802,C608,$D$4:$D$802,"&gt;"&amp;D608)</x:f>
        <x:v>39</x:v>
      </x:c>
      <x:c r="F608" s="102" t="n">
        <x:v>719559</x:v>
      </x:c>
      <x:c r="G608" s="126" t="n">
        <x:f>D608/F608*100000</x:f>
        <x:v>310.32896538018423</x:v>
      </x:c>
      <x:c r="H608" s="127" t="n">
        <x:f>1+COUNTIFS($C$4:$C$802,C608,$G$4:$G$802,"&gt;"&amp;G608)</x:f>
        <x:v>8</x:v>
      </x:c>
      <x:c r="I608" s="128" t="n">
        <x:f>D608/SUMIF($C$4:$C$802,C608,$D$4:$D$802)</x:f>
        <x:v>0.0059633174525177855</x:v>
      </x:c>
      <x:c r="J608" s="103" t="n">
        <x:f>(D608/SUMIF($A$4:$A$802,A608,$D$4:$D$802))/(SUMIF($C$4:$C$802,C608,$D$4:$D$802)/SUM($D$4:$D$802))</x:f>
        <x:v>0.901176484486099</x:v>
      </x:c>
    </x:row>
    <x:row r="609">
      <x:c r="A609" s="101" t="str">
        <x:v>徳島県</x:v>
      </x:c>
      <x:c r="B609" s="101" t="str">
        <x:v>L</x:v>
      </x:c>
      <x:c r="C609" s="101" t="str">
        <x:v>学術研究，専門・技術サービス業</x:v>
      </x:c>
      <x:c r="D609" s="102" t="n">
        <x:v>1346</x:v>
      </x:c>
      <x:c r="E609" s="102" t="n">
        <x:f>1+COUNTIFS($C$4:$C$802,C609,$D$4:$D$802,"&gt;"&amp;D609)</x:f>
        <x:v>44</x:v>
      </x:c>
      <x:c r="F609" s="102" t="n">
        <x:v>719559</x:v>
      </x:c>
      <x:c r="G609" s="126" t="n">
        <x:f>D609/F609*100000</x:f>
        <x:v>187.05901809302642</x:v>
      </x:c>
      <x:c r="H609" s="127" t="n">
        <x:f>1+COUNTIFS($C$4:$C$802,C609,$G$4:$G$802,"&gt;"&amp;G609)</x:f>
        <x:v>18</x:v>
      </x:c>
      <x:c r="I609" s="128" t="n">
        <x:f>D609/SUMIF($C$4:$C$802,C609,$D$4:$D$802)</x:f>
        <x:v>0.00533407307600856</x:v>
      </x:c>
      <x:c r="J609" s="103" t="n">
        <x:f>(D609/SUMIF($A$4:$A$802,A609,$D$4:$D$802))/(SUMIF($C$4:$C$802,C609,$D$4:$D$802)/SUM($D$4:$D$802))</x:f>
        <x:v>0.8060850794719635</x:v>
      </x:c>
    </x:row>
    <x:row r="610">
      <x:c r="A610" s="101" t="str">
        <x:v>徳島県</x:v>
      </x:c>
      <x:c r="B610" s="101" t="str">
        <x:v>M</x:v>
      </x:c>
      <x:c r="C610" s="101" t="str">
        <x:v>宿泊業，飲食サービス業</x:v>
      </x:c>
      <x:c r="D610" s="102" t="n">
        <x:v>3903</x:v>
      </x:c>
      <x:c r="E610" s="102" t="n">
        <x:f>1+COUNTIFS($C$4:$C$802,C610,$D$4:$D$802,"&gt;"&amp;D610)</x:f>
        <x:v>45</x:v>
      </x:c>
      <x:c r="F610" s="102" t="n">
        <x:v>719559</x:v>
      </x:c>
      <x:c r="G610" s="126" t="n">
        <x:f>D610/F610*100000</x:f>
        <x:v>542.4155628655885</x:v>
      </x:c>
      <x:c r="H610" s="127" t="n">
        <x:f>1+COUNTIFS($C$4:$C$802,C610,$G$4:$G$802,"&gt;"&amp;G610)</x:f>
        <x:v>13</x:v>
      </x:c>
      <x:c r="I610" s="128" t="n">
        <x:f>D610/SUMIF($C$4:$C$802,C610,$D$4:$D$802)</x:f>
        <x:v>0.006515228909387738</x:v>
      </x:c>
      <x:c r="J610" s="103" t="n">
        <x:f>(D610/SUMIF($A$4:$A$802,A610,$D$4:$D$802))/(SUMIF($C$4:$C$802,C610,$D$4:$D$802)/SUM($D$4:$D$802))</x:f>
        <x:v>0.9845813393189857</x:v>
      </x:c>
    </x:row>
    <x:row r="611">
      <x:c r="A611" s="101" t="str">
        <x:v>徳島県</x:v>
      </x:c>
      <x:c r="B611" s="101" t="str">
        <x:v>N</x:v>
      </x:c>
      <x:c r="C611" s="101" t="str">
        <x:v>生活関連サービス業，娯楽業</x:v>
      </x:c>
      <x:c r="D611" s="102" t="n">
        <x:v>3177</x:v>
      </x:c>
      <x:c r="E611" s="102" t="n">
        <x:f>1+COUNTIFS($C$4:$C$802,C611,$D$4:$D$802,"&gt;"&amp;D611)</x:f>
        <x:v>44</x:v>
      </x:c>
      <x:c r="F611" s="102" t="n">
        <x:v>719559</x:v>
      </x:c>
      <x:c r="G611" s="126" t="n">
        <x:f>D611/F611*100000</x:f>
        <x:v>441.52043126414935</x:v>
      </x:c>
      <x:c r="H611" s="127" t="n">
        <x:f>1+COUNTIFS($C$4:$C$802,C611,$G$4:$G$802,"&gt;"&amp;G611)</x:f>
        <x:v>9</x:v>
      </x:c>
      <x:c r="I611" s="128" t="n">
        <x:f>D611/SUMIF($C$4:$C$802,C611,$D$4:$D$802)</x:f>
        <x:v>0.007316752992222639</x:v>
      </x:c>
      <x:c r="J611" s="103" t="n">
        <x:f>(D611/SUMIF($A$4:$A$802,A611,$D$4:$D$802))/(SUMIF($C$4:$C$802,C611,$D$4:$D$802)/SUM($D$4:$D$802))</x:f>
        <x:v>1.1057076521392315</x:v>
      </x:c>
    </x:row>
    <x:row r="612">
      <x:c r="A612" s="101" t="str">
        <x:v>徳島県</x:v>
      </x:c>
      <x:c r="B612" s="101" t="str">
        <x:v>O</x:v>
      </x:c>
      <x:c r="C612" s="101" t="str">
        <x:v>教育，学習支援業</x:v>
      </x:c>
      <x:c r="D612" s="102" t="n">
        <x:v>1093</x:v>
      </x:c>
      <x:c r="E612" s="102" t="n">
        <x:f>1+COUNTIFS($C$4:$C$802,C612,$D$4:$D$802,"&gt;"&amp;D612)</x:f>
        <x:v>43</x:v>
      </x:c>
      <x:c r="F612" s="102" t="n">
        <x:v>719559</x:v>
      </x:c>
      <x:c r="G612" s="126" t="n">
        <x:f>D612/F612*100000</x:f>
        <x:v>151.89859344404005</x:v>
      </x:c>
      <x:c r="H612" s="127" t="n">
        <x:f>1+COUNTIFS($C$4:$C$802,C612,$G$4:$G$802,"&gt;"&amp;G612)</x:f>
        <x:v>4</x:v>
      </x:c>
      <x:c r="I612" s="128" t="n">
        <x:f>D612/SUMIF($C$4:$C$802,C612,$D$4:$D$802)</x:f>
        <x:v>0.006690867241685388</x:v>
      </x:c>
      <x:c r="J612" s="103" t="n">
        <x:f>(D612/SUMIF($A$4:$A$802,A612,$D$4:$D$802))/(SUMIF($C$4:$C$802,C612,$D$4:$D$802)/SUM($D$4:$D$802))</x:f>
        <x:v>1.011123802654418</x:v>
      </x:c>
    </x:row>
    <x:row r="613">
      <x:c r="A613" s="101" t="str">
        <x:v>徳島県</x:v>
      </x:c>
      <x:c r="B613" s="101" t="str">
        <x:v>P</x:v>
      </x:c>
      <x:c r="C613" s="101" t="str">
        <x:v>医療，福祉</x:v>
      </x:c>
      <x:c r="D613" s="102" t="n">
        <x:v>3154</x:v>
      </x:c>
      <x:c r="E613" s="102" t="n">
        <x:f>1+COUNTIFS($C$4:$C$802,C613,$D$4:$D$802,"&gt;"&amp;D613)</x:f>
        <x:v>42</x:v>
      </x:c>
      <x:c r="F613" s="102" t="n">
        <x:v>719559</x:v>
      </x:c>
      <x:c r="G613" s="126" t="n">
        <x:f>D613/F613*100000</x:f>
        <x:v>438.32402902333234</x:v>
      </x:c>
      <x:c r="H613" s="127" t="n">
        <x:f>1+COUNTIFS($C$4:$C$802,C613,$G$4:$G$802,"&gt;"&amp;G613)</x:f>
        <x:v>6</x:v>
      </x:c>
      <x:c r="I613" s="128" t="n">
        <x:f>D613/SUMIF($C$4:$C$802,C613,$D$4:$D$802)</x:f>
        <x:v>0.0068190024020011635</x:v>
      </x:c>
      <x:c r="J613" s="103" t="n">
        <x:f>(D613/SUMIF($A$4:$A$802,A613,$D$4:$D$802))/(SUMIF($C$4:$C$802,C613,$D$4:$D$802)/SUM($D$4:$D$802))</x:f>
        <x:v>1.0304875870297876</x:v>
      </x:c>
    </x:row>
    <x:row r="614">
      <x:c r="A614" s="101" t="str">
        <x:v>徳島県</x:v>
      </x:c>
      <x:c r="B614" s="101" t="str">
        <x:v>Q</x:v>
      </x:c>
      <x:c r="C614" s="101" t="str">
        <x:v>複合サービス事業</x:v>
      </x:c>
      <x:c r="D614" s="102" t="n">
        <x:v>307</x:v>
      </x:c>
      <x:c r="E614" s="102" t="n">
        <x:f>1+COUNTIFS($C$4:$C$802,C614,$D$4:$D$802,"&gt;"&amp;D614)</x:f>
        <x:v>47</x:v>
      </x:c>
      <x:c r="F614" s="102" t="n">
        <x:v>719559</x:v>
      </x:c>
      <x:c r="G614" s="126" t="n">
        <x:f>D614/F614*100000</x:f>
        <x:v>42.6650212143827</x:v>
      </x:c>
      <x:c r="H614" s="127" t="n">
        <x:f>1+COUNTIFS($C$4:$C$802,C614,$G$4:$G$802,"&gt;"&amp;G614)</x:f>
        <x:v>13</x:v>
      </x:c>
      <x:c r="I614" s="128" t="n">
        <x:f>D614/SUMIF($C$4:$C$802,C614,$D$4:$D$802)</x:f>
        <x:v>0.009554635710061933</x:v>
      </x:c>
      <x:c r="J614" s="103" t="n">
        <x:f>(D614/SUMIF($A$4:$A$802,A614,$D$4:$D$802))/(SUMIF($C$4:$C$802,C614,$D$4:$D$802)/SUM($D$4:$D$802))</x:f>
        <x:v>1.443896470093762</x:v>
      </x:c>
    </x:row>
    <x:row r="615">
      <x:c r="A615" s="101" t="str">
        <x:v>徳島県</x:v>
      </x:c>
      <x:c r="B615" s="101" t="str">
        <x:v>R</x:v>
      </x:c>
      <x:c r="C615" s="101" t="str">
        <x:v>サービス業（他に分類されないもの）</x:v>
      </x:c>
      <x:c r="D615" s="102" t="n">
        <x:v>2739</x:v>
      </x:c>
      <x:c r="E615" s="102" t="n">
        <x:f>1+COUNTIFS($C$4:$C$802,C615,$D$4:$D$802,"&gt;"&amp;D615)</x:f>
        <x:v>45</x:v>
      </x:c>
      <x:c r="F615" s="102" t="n">
        <x:v>719559</x:v>
      </x:c>
      <x:c r="G615" s="126" t="n">
        <x:f>D615/F615*100000</x:f>
        <x:v>380.64981467815704</x:v>
      </x:c>
      <x:c r="H615" s="127" t="n">
        <x:f>1+COUNTIFS($C$4:$C$802,C615,$G$4:$G$802,"&gt;"&amp;G615)</x:f>
        <x:v>11</x:v>
      </x:c>
      <x:c r="I615" s="128" t="n">
        <x:f>D615/SUMIF($C$4:$C$802,C615,$D$4:$D$802)</x:f>
        <x:v>0.007418502107190449</x:v>
      </x:c>
      <x:c r="J615" s="103" t="n">
        <x:f>(D615/SUMIF($A$4:$A$802,A615,$D$4:$D$802))/(SUMIF($C$4:$C$802,C615,$D$4:$D$802)/SUM($D$4:$D$802))</x:f>
        <x:v>1.1210839775581556</x:v>
      </x:c>
    </x:row>
    <x:row r="616">
      <x:c r="A616" s="101" t="str">
        <x:v>香川県</x:v>
      </x:c>
      <x:c r="B616" s="101" t="str">
        <x:v>AB</x:v>
      </x:c>
      <x:c r="C616" s="101" t="str">
        <x:v>農林漁業</x:v>
      </x:c>
      <x:c r="D616" s="102" t="n">
        <x:v>571</x:v>
      </x:c>
      <x:c r="E616" s="102" t="n">
        <x:f>1+COUNTIFS($C$4:$C$802,C616,$D$4:$D$802,"&gt;"&amp;D616)</x:f>
        <x:v>36</x:v>
      </x:c>
      <x:c r="F616" s="102" t="n">
        <x:v>950244</x:v>
      </x:c>
      <x:c r="G616" s="126" t="n">
        <x:f>D616/F616*100000</x:f>
        <x:v>60.08982955956575</x:v>
      </x:c>
      <x:c r="H616" s="127" t="n">
        <x:f>1+COUNTIFS($C$4:$C$802,C616,$G$4:$G$802,"&gt;"&amp;G616)</x:f>
        <x:v>18</x:v>
      </x:c>
      <x:c r="I616" s="128" t="n">
        <x:f>D616/SUMIF($C$4:$C$802,C616,$D$4:$D$802)</x:f>
        <x:v>0.013448584483489566</x:v>
      </x:c>
      <x:c r="J616" s="103" t="n">
        <x:f>(D616/SUMIF($A$4:$A$802,A616,$D$4:$D$802))/(SUMIF($C$4:$C$802,C616,$D$4:$D$802)/SUM($D$4:$D$802))</x:f>
        <x:v>1.542882069681478</x:v>
      </x:c>
    </x:row>
    <x:row r="617">
      <x:c r="A617" s="101" t="str">
        <x:v>香川県</x:v>
      </x:c>
      <x:c r="B617" s="101" t="str">
        <x:v>C</x:v>
      </x:c>
      <x:c r="C617" s="101" t="str">
        <x:v>鉱業，採石業，砂利採取業</x:v>
      </x:c>
      <x:c r="D617" s="102" t="n">
        <x:v>32</x:v>
      </x:c>
      <x:c r="E617" s="102" t="n">
        <x:f>1+COUNTIFS($C$4:$C$802,C617,$D$4:$D$802,"&gt;"&amp;D617)</x:f>
        <x:v>22</x:v>
      </x:c>
      <x:c r="F617" s="102" t="n">
        <x:v>950244</x:v>
      </x:c>
      <x:c r="G617" s="126" t="n">
        <x:f>D617/F617*100000</x:f>
        <x:v>3.3675561224275024</x:v>
      </x:c>
      <x:c r="H617" s="127" t="n">
        <x:f>1+COUNTIFS($C$4:$C$802,C617,$G$4:$G$802,"&gt;"&amp;G617)</x:f>
        <x:v>10</x:v>
      </x:c>
      <x:c r="I617" s="128" t="n">
        <x:f>D617/SUMIF($C$4:$C$802,C617,$D$4:$D$802)</x:f>
        <x:v>0.017158176943699734</x:v>
      </x:c>
      <x:c r="J617" s="103" t="n">
        <x:f>(D617/SUMIF($A$4:$A$802,A617,$D$4:$D$802))/(SUMIF($C$4:$C$802,C617,$D$4:$D$802)/SUM($D$4:$D$802))</x:f>
        <x:v>1.9684631930859815</x:v>
      </x:c>
    </x:row>
    <x:row r="618">
      <x:c r="A618" s="101" t="str">
        <x:v>香川県</x:v>
      </x:c>
      <x:c r="B618" s="101" t="str">
        <x:v>D</x:v>
      </x:c>
      <x:c r="C618" s="101" t="str">
        <x:v>建設業</x:v>
      </x:c>
      <x:c r="D618" s="102" t="n">
        <x:v>4261</x:v>
      </x:c>
      <x:c r="E618" s="102" t="n">
        <x:f>1+COUNTIFS($C$4:$C$802,C618,$D$4:$D$802,"&gt;"&amp;D618)</x:f>
        <x:v>39</x:v>
      </x:c>
      <x:c r="F618" s="102" t="n">
        <x:v>950244</x:v>
      </x:c>
      <x:c r="G618" s="126" t="n">
        <x:f>D618/F618*100000</x:f>
        <x:v>448.4111449269872</x:v>
      </x:c>
      <x:c r="H618" s="127" t="n">
        <x:f>1+COUNTIFS($C$4:$C$802,C618,$G$4:$G$802,"&gt;"&amp;G618)</x:f>
        <x:v>20</x:v>
      </x:c>
      <x:c r="I618" s="128" t="n">
        <x:f>D618/SUMIF($C$4:$C$802,C618,$D$4:$D$802)</x:f>
        <x:v>0.008783122223710926</x:v>
      </x:c>
      <x:c r="J618" s="103" t="n">
        <x:f>(D618/SUMIF($A$4:$A$802,A618,$D$4:$D$802))/(SUMIF($C$4:$C$802,C618,$D$4:$D$802)/SUM($D$4:$D$802))</x:f>
        <x:v>1.0076392657845188</x:v>
      </x:c>
    </x:row>
    <x:row r="619">
      <x:c r="A619" s="101" t="str">
        <x:v>香川県</x:v>
      </x:c>
      <x:c r="B619" s="101" t="str">
        <x:v>E</x:v>
      </x:c>
      <x:c r="C619" s="101" t="str">
        <x:v>製造業</x:v>
      </x:c>
      <x:c r="D619" s="102" t="n">
        <x:v>3783</x:v>
      </x:c>
      <x:c r="E619" s="102" t="n">
        <x:f>1+COUNTIFS($C$4:$C$802,C619,$D$4:$D$802,"&gt;"&amp;D619)</x:f>
        <x:v>33</x:v>
      </x:c>
      <x:c r="F619" s="102" t="n">
        <x:v>950244</x:v>
      </x:c>
      <x:c r="G619" s="126" t="n">
        <x:f>D619/F619*100000</x:f>
        <x:v>398.1082753482264</x:v>
      </x:c>
      <x:c r="H619" s="127" t="n">
        <x:f>1+COUNTIFS($C$4:$C$802,C619,$G$4:$G$802,"&gt;"&amp;G619)</x:f>
        <x:v>15</x:v>
      </x:c>
      <x:c r="I619" s="128" t="n">
        <x:f>D619/SUMIF($C$4:$C$802,C619,$D$4:$D$802)</x:f>
        <x:v>0.009168308625189947</x:v>
      </x:c>
      <x:c r="J619" s="103" t="n">
        <x:f>(D619/SUMIF($A$4:$A$802,A619,$D$4:$D$802))/(SUMIF($C$4:$C$802,C619,$D$4:$D$802)/SUM($D$4:$D$802))</x:f>
        <x:v>1.051829581356891</x:v>
      </x:c>
    </x:row>
    <x:row r="620">
      <x:c r="A620" s="101" t="str">
        <x:v>香川県</x:v>
      </x:c>
      <x:c r="B620" s="101" t="str">
        <x:v>F</x:v>
      </x:c>
      <x:c r="C620" s="101" t="str">
        <x:v>電気・ガス・熱供給・水道業</x:v>
      </x:c>
      <x:c r="D620" s="102" t="n">
        <x:v>151</x:v>
      </x:c>
      <x:c r="E620" s="102" t="n">
        <x:f>1+COUNTIFS($C$4:$C$802,C620,$D$4:$D$802,"&gt;"&amp;D620)</x:f>
        <x:v>23</x:v>
      </x:c>
      <x:c r="F620" s="102" t="n">
        <x:v>950244</x:v>
      </x:c>
      <x:c r="G620" s="126" t="n">
        <x:f>D620/F620*100000</x:f>
        <x:v>15.89065545270478</x:v>
      </x:c>
      <x:c r="H620" s="127" t="n">
        <x:f>1+COUNTIFS($C$4:$C$802,C620,$G$4:$G$802,"&gt;"&amp;G620)</x:f>
        <x:v>3</x:v>
      </x:c>
      <x:c r="I620" s="128" t="n">
        <x:f>D620/SUMIF($C$4:$C$802,C620,$D$4:$D$802)</x:f>
        <x:v>0.016522595469963892</x:v>
      </x:c>
      <x:c r="J620" s="103" t="n">
        <x:f>(D620/SUMIF($A$4:$A$802,A620,$D$4:$D$802))/(SUMIF($C$4:$C$802,C620,$D$4:$D$802)/SUM($D$4:$D$802))</x:f>
        <x:v>1.89554642918026</x:v>
      </x:c>
    </x:row>
    <x:row r="621">
      <x:c r="A621" s="101" t="str">
        <x:v>香川県</x:v>
      </x:c>
      <x:c r="B621" s="101" t="str">
        <x:v>G</x:v>
      </x:c>
      <x:c r="C621" s="101" t="str">
        <x:v>情報通信業</x:v>
      </x:c>
      <x:c r="D621" s="102" t="n">
        <x:v>405</x:v>
      </x:c>
      <x:c r="E621" s="102" t="n">
        <x:f>1+COUNTIFS($C$4:$C$802,C621,$D$4:$D$802,"&gt;"&amp;D621)</x:f>
        <x:v>31</x:v>
      </x:c>
      <x:c r="F621" s="102" t="n">
        <x:v>950244</x:v>
      </x:c>
      <x:c r="G621" s="126" t="n">
        <x:f>D621/F621*100000</x:f>
        <x:v>42.62063217447309</x:v>
      </x:c>
      <x:c r="H621" s="127" t="n">
        <x:f>1+COUNTIFS($C$4:$C$802,C621,$G$4:$G$802,"&gt;"&amp;G621)</x:f>
        <x:v>15</x:v>
      </x:c>
      <x:c r="I621" s="128" t="n">
        <x:f>D621/SUMIF($C$4:$C$802,C621,$D$4:$D$802)</x:f>
        <x:v>0.005290037748664429</x:v>
      </x:c>
      <x:c r="J621" s="103" t="n">
        <x:f>(D621/SUMIF($A$4:$A$802,A621,$D$4:$D$802))/(SUMIF($C$4:$C$802,C621,$D$4:$D$802)/SUM($D$4:$D$802))</x:f>
        <x:v>0.6068969117435855</x:v>
      </x:c>
    </x:row>
    <x:row r="622">
      <x:c r="A622" s="101" t="str">
        <x:v>香川県</x:v>
      </x:c>
      <x:c r="B622" s="101" t="str">
        <x:v>H</x:v>
      </x:c>
      <x:c r="C622" s="101" t="str">
        <x:v>運輸業，郵便業</x:v>
      </x:c>
      <x:c r="D622" s="102" t="n">
        <x:v>1197</x:v>
      </x:c>
      <x:c r="E622" s="102" t="n">
        <x:f>1+COUNTIFS($C$4:$C$802,C622,$D$4:$D$802,"&gt;"&amp;D622)</x:f>
        <x:v>33</x:v>
      </x:c>
      <x:c r="F622" s="102" t="n">
        <x:v>950244</x:v>
      </x:c>
      <x:c r="G622" s="126" t="n">
        <x:f>D622/F622*100000</x:f>
        <x:v>125.96764620455379</x:v>
      </x:c>
      <x:c r="H622" s="127" t="n">
        <x:f>1+COUNTIFS($C$4:$C$802,C622,$G$4:$G$802,"&gt;"&amp;G622)</x:f>
        <x:v>1</x:v>
      </x:c>
      <x:c r="I622" s="128" t="n">
        <x:f>D622/SUMIF($C$4:$C$802,C622,$D$4:$D$802)</x:f>
        <x:v>0.00933522585475418</x:v>
      </x:c>
      <x:c r="J622" s="103" t="n">
        <x:f>(D622/SUMIF($A$4:$A$802,A622,$D$4:$D$802))/(SUMIF($C$4:$C$802,C622,$D$4:$D$802)/SUM($D$4:$D$802))</x:f>
        <x:v>1.0709790763042388</x:v>
      </x:c>
    </x:row>
    <x:row r="623">
      <x:c r="A623" s="101" t="str">
        <x:v>香川県</x:v>
      </x:c>
      <x:c r="B623" s="101" t="str">
        <x:v>I</x:v>
      </x:c>
      <x:c r="C623" s="101" t="str">
        <x:v>卸売業，小売業</x:v>
      </x:c>
      <x:c r="D623" s="102" t="n">
        <x:v>11378</x:v>
      </x:c>
      <x:c r="E623" s="102" t="n">
        <x:f>1+COUNTIFS($C$4:$C$802,C623,$D$4:$D$802,"&gt;"&amp;D623)</x:f>
        <x:v>38</x:v>
      </x:c>
      <x:c r="F623" s="102" t="n">
        <x:v>950244</x:v>
      </x:c>
      <x:c r="G623" s="126" t="n">
        <x:f>D623/F623*100000</x:f>
        <x:v>1197.376673780629</x:v>
      </x:c>
      <x:c r="H623" s="127" t="n">
        <x:f>1+COUNTIFS($C$4:$C$802,C623,$G$4:$G$802,"&gt;"&amp;G623)</x:f>
        <x:v>7</x:v>
      </x:c>
      <x:c r="I623" s="128" t="n">
        <x:f>D623/SUMIF($C$4:$C$802,C623,$D$4:$D$802)</x:f>
        <x:v>0.009258535950265273</x:v>
      </x:c>
      <x:c r="J623" s="103" t="n">
        <x:f>(D623/SUMIF($A$4:$A$802,A623,$D$4:$D$802))/(SUMIF($C$4:$C$802,C623,$D$4:$D$802)/SUM($D$4:$D$802))</x:f>
        <x:v>1.0621808657039498</x:v>
      </x:c>
    </x:row>
    <x:row r="624">
      <x:c r="A624" s="101" t="str">
        <x:v>香川県</x:v>
      </x:c>
      <x:c r="B624" s="101" t="str">
        <x:v>J</x:v>
      </x:c>
      <x:c r="C624" s="101" t="str">
        <x:v>金融業，保険業</x:v>
      </x:c>
      <x:c r="D624" s="102" t="n">
        <x:v>804</x:v>
      </x:c>
      <x:c r="E624" s="102" t="n">
        <x:f>1+COUNTIFS($C$4:$C$802,C624,$D$4:$D$802,"&gt;"&amp;D624)</x:f>
        <x:v>36</x:v>
      </x:c>
      <x:c r="F624" s="102" t="n">
        <x:v>950244</x:v>
      </x:c>
      <x:c r="G624" s="126" t="n">
        <x:f>D624/F624*100000</x:f>
        <x:v>84.60984757599101</x:v>
      </x:c>
      <x:c r="H624" s="127" t="n">
        <x:f>1+COUNTIFS($C$4:$C$802,C624,$G$4:$G$802,"&gt;"&amp;G624)</x:f>
        <x:v>7</x:v>
      </x:c>
      <x:c r="I624" s="128" t="n">
        <x:f>D624/SUMIF($C$4:$C$802,C624,$D$4:$D$802)</x:f>
        <x:v>0.00958832228211611</x:v>
      </x:c>
      <x:c r="J624" s="103" t="n">
        <x:f>(D624/SUMIF($A$4:$A$802,A624,$D$4:$D$802))/(SUMIF($C$4:$C$802,C624,$D$4:$D$802)/SUM($D$4:$D$802))</x:f>
        <x:v>1.1000154362391126</x:v>
      </x:c>
    </x:row>
    <x:row r="625">
      <x:c r="A625" s="101" t="str">
        <x:v>香川県</x:v>
      </x:c>
      <x:c r="B625" s="101" t="str">
        <x:v>K</x:v>
      </x:c>
      <x:c r="C625" s="101" t="str">
        <x:v>不動産業，物品賃貸業</x:v>
      </x:c>
      <x:c r="D625" s="102" t="n">
        <x:v>2992</x:v>
      </x:c>
      <x:c r="E625" s="102" t="n">
        <x:f>1+COUNTIFS($C$4:$C$802,C625,$D$4:$D$802,"&gt;"&amp;D625)</x:f>
        <x:v>33</x:v>
      </x:c>
      <x:c r="F625" s="102" t="n">
        <x:v>950244</x:v>
      </x:c>
      <x:c r="G625" s="126" t="n">
        <x:f>D625/F625*100000</x:f>
        <x:v>314.86649744697155</x:v>
      </x:c>
      <x:c r="H625" s="127" t="n">
        <x:f>1+COUNTIFS($C$4:$C$802,C625,$G$4:$G$802,"&gt;"&amp;G625)</x:f>
        <x:v>7</x:v>
      </x:c>
      <x:c r="I625" s="128" t="n">
        <x:f>D625/SUMIF($C$4:$C$802,C625,$D$4:$D$802)</x:f>
        <x:v>0.007990257867412994</x:v>
      </x:c>
      <x:c r="J625" s="103" t="n">
        <x:f>(D625/SUMIF($A$4:$A$802,A625,$D$4:$D$802))/(SUMIF($C$4:$C$802,C625,$D$4:$D$802)/SUM($D$4:$D$802))</x:f>
        <x:v>0.9166783025304728</x:v>
      </x:c>
    </x:row>
    <x:row r="626">
      <x:c r="A626" s="101" t="str">
        <x:v>香川県</x:v>
      </x:c>
      <x:c r="B626" s="101" t="str">
        <x:v>L</x:v>
      </x:c>
      <x:c r="C626" s="101" t="str">
        <x:v>学術研究，専門・技術サービス業</x:v>
      </x:c>
      <x:c r="D626" s="102" t="n">
        <x:v>1925</x:v>
      </x:c>
      <x:c r="E626" s="102" t="n">
        <x:f>1+COUNTIFS($C$4:$C$802,C626,$D$4:$D$802,"&gt;"&amp;D626)</x:f>
        <x:v>35</x:v>
      </x:c>
      <x:c r="F626" s="102" t="n">
        <x:v>950244</x:v>
      </x:c>
      <x:c r="G626" s="126" t="n">
        <x:f>D626/F626*100000</x:f>
        <x:v>202.57954798977946</x:v>
      </x:c>
      <x:c r="H626" s="127" t="n">
        <x:f>1+COUNTIFS($C$4:$C$802,C626,$G$4:$G$802,"&gt;"&amp;G626)</x:f>
        <x:v>9</x:v>
      </x:c>
      <x:c r="I626" s="128" t="n">
        <x:f>D626/SUMIF($C$4:$C$802,C626,$D$4:$D$802)</x:f>
        <x:v>0.007628596338273758</x:v>
      </x:c>
      <x:c r="J626" s="103" t="n">
        <x:f>(D626/SUMIF($A$4:$A$802,A626,$D$4:$D$802))/(SUMIF($C$4:$C$802,C626,$D$4:$D$802)/SUM($D$4:$D$802))</x:f>
        <x:v>0.8751868660683266</x:v>
      </x:c>
    </x:row>
    <x:row r="627">
      <x:c r="A627" s="101" t="str">
        <x:v>香川県</x:v>
      </x:c>
      <x:c r="B627" s="101" t="str">
        <x:v>M</x:v>
      </x:c>
      <x:c r="C627" s="101" t="str">
        <x:v>宿泊業，飲食サービス業</x:v>
      </x:c>
      <x:c r="D627" s="102" t="n">
        <x:v>4877</x:v>
      </x:c>
      <x:c r="E627" s="102" t="n">
        <x:f>1+COUNTIFS($C$4:$C$802,C627,$D$4:$D$802,"&gt;"&amp;D627)</x:f>
        <x:v>40</x:v>
      </x:c>
      <x:c r="F627" s="102" t="n">
        <x:v>950244</x:v>
      </x:c>
      <x:c r="G627" s="126" t="n">
        <x:f>D627/F627*100000</x:f>
        <x:v>513.2366002837166</x:v>
      </x:c>
      <x:c r="H627" s="127" t="n">
        <x:f>1+COUNTIFS($C$4:$C$802,C627,$G$4:$G$802,"&gt;"&amp;G627)</x:f>
        <x:v>24</x:v>
      </x:c>
      <x:c r="I627" s="128" t="n">
        <x:f>D627/SUMIF($C$4:$C$802,C627,$D$4:$D$802)</x:f>
        <x:v>0.008141114883700744</x:v>
      </x:c>
      <x:c r="J627" s="103" t="n">
        <x:f>(D627/SUMIF($A$4:$A$802,A627,$D$4:$D$802))/(SUMIF($C$4:$C$802,C627,$D$4:$D$802)/SUM($D$4:$D$802))</x:f>
        <x:v>0.9339852976125026</x:v>
      </x:c>
    </x:row>
    <x:row r="628">
      <x:c r="A628" s="101" t="str">
        <x:v>香川県</x:v>
      </x:c>
      <x:c r="B628" s="101" t="str">
        <x:v>N</x:v>
      </x:c>
      <x:c r="C628" s="101" t="str">
        <x:v>生活関連サービス業，娯楽業</x:v>
      </x:c>
      <x:c r="D628" s="102" t="n">
        <x:v>3690</x:v>
      </x:c>
      <x:c r="E628" s="102" t="n">
        <x:f>1+COUNTIFS($C$4:$C$802,C628,$D$4:$D$802,"&gt;"&amp;D628)</x:f>
        <x:v>40</x:v>
      </x:c>
      <x:c r="F628" s="102" t="n">
        <x:v>950244</x:v>
      </x:c>
      <x:c r="G628" s="126" t="n">
        <x:f>D628/F628*100000</x:f>
        <x:v>388.32131536742145</x:v>
      </x:c>
      <x:c r="H628" s="127" t="n">
        <x:f>1+COUNTIFS($C$4:$C$802,C628,$G$4:$G$802,"&gt;"&amp;G628)</x:f>
        <x:v>25</x:v>
      </x:c>
      <x:c r="I628" s="128" t="n">
        <x:f>D628/SUMIF($C$4:$C$802,C628,$D$4:$D$802)</x:f>
        <x:v>0.00849821169068352</x:v>
      </x:c>
      <x:c r="J628" s="103" t="n">
        <x:f>(D628/SUMIF($A$4:$A$802,A628,$D$4:$D$802))/(SUMIF($C$4:$C$802,C628,$D$4:$D$802)/SUM($D$4:$D$802))</x:f>
        <x:v>0.9749530486282789</x:v>
      </x:c>
    </x:row>
    <x:row r="629">
      <x:c r="A629" s="101" t="str">
        <x:v>香川県</x:v>
      </x:c>
      <x:c r="B629" s="101" t="str">
        <x:v>O</x:v>
      </x:c>
      <x:c r="C629" s="101" t="str">
        <x:v>教育，学習支援業</x:v>
      </x:c>
      <x:c r="D629" s="102" t="n">
        <x:v>1385</x:v>
      </x:c>
      <x:c r="E629" s="102" t="n">
        <x:f>1+COUNTIFS($C$4:$C$802,C629,$D$4:$D$802,"&gt;"&amp;D629)</x:f>
        <x:v>35</x:v>
      </x:c>
      <x:c r="F629" s="102" t="n">
        <x:v>950244</x:v>
      </x:c>
      <x:c r="G629" s="126" t="n">
        <x:f>D629/F629*100000</x:f>
        <x:v>145.75203842381535</x:v>
      </x:c>
      <x:c r="H629" s="127" t="n">
        <x:f>1+COUNTIFS($C$4:$C$802,C629,$G$4:$G$802,"&gt;"&amp;G629)</x:f>
        <x:v>9</x:v>
      </x:c>
      <x:c r="I629" s="128" t="n">
        <x:f>D629/SUMIF($C$4:$C$802,C629,$D$4:$D$802)</x:f>
        <x:v>0.008478363339189627</x:v>
      </x:c>
      <x:c r="J629" s="103" t="n">
        <x:f>(D629/SUMIF($A$4:$A$802,A629,$D$4:$D$802))/(SUMIF($C$4:$C$802,C629,$D$4:$D$802)/SUM($D$4:$D$802))</x:f>
        <x:v>0.9726759565171905</x:v>
      </x:c>
    </x:row>
    <x:row r="630">
      <x:c r="A630" s="101" t="str">
        <x:v>香川県</x:v>
      </x:c>
      <x:c r="B630" s="101" t="str">
        <x:v>P</x:v>
      </x:c>
      <x:c r="C630" s="101" t="str">
        <x:v>医療，福祉</x:v>
      </x:c>
      <x:c r="D630" s="102" t="n">
        <x:v>3512</x:v>
      </x:c>
      <x:c r="E630" s="102" t="n">
        <x:f>1+COUNTIFS($C$4:$C$802,C630,$D$4:$D$802,"&gt;"&amp;D630)</x:f>
        <x:v>40</x:v>
      </x:c>
      <x:c r="F630" s="102" t="n">
        <x:v>950244</x:v>
      </x:c>
      <x:c r="G630" s="126" t="n">
        <x:f>D630/F630*100000</x:f>
        <x:v>369.58928443641844</x:v>
      </x:c>
      <x:c r="H630" s="127" t="n">
        <x:f>1+COUNTIFS($C$4:$C$802,C630,$G$4:$G$802,"&gt;"&amp;G630)</x:f>
        <x:v>28</x:v>
      </x:c>
      <x:c r="I630" s="128" t="n">
        <x:f>D630/SUMIF($C$4:$C$802,C630,$D$4:$D$802)</x:f>
        <x:v>0.007593004576990515</x:v>
      </x:c>
      <x:c r="J630" s="103" t="n">
        <x:f>(D630/SUMIF($A$4:$A$802,A630,$D$4:$D$802))/(SUMIF($C$4:$C$802,C630,$D$4:$D$802)/SUM($D$4:$D$802))</x:f>
        <x:v>0.8711036192121453</x:v>
      </x:c>
    </x:row>
    <x:row r="631">
      <x:c r="A631" s="101" t="str">
        <x:v>香川県</x:v>
      </x:c>
      <x:c r="B631" s="101" t="str">
        <x:v>Q</x:v>
      </x:c>
      <x:c r="C631" s="101" t="str">
        <x:v>複合サービス事業</x:v>
      </x:c>
      <x:c r="D631" s="102" t="n">
        <x:v>385</x:v>
      </x:c>
      <x:c r="E631" s="102" t="n">
        <x:f>1+COUNTIFS($C$4:$C$802,C631,$D$4:$D$802,"&gt;"&amp;D631)</x:f>
        <x:v>39</x:v>
      </x:c>
      <x:c r="F631" s="102" t="n">
        <x:v>950244</x:v>
      </x:c>
      <x:c r="G631" s="126" t="n">
        <x:f>D631/F631*100000</x:f>
        <x:v>40.51590959795589</x:v>
      </x:c>
      <x:c r="H631" s="127" t="n">
        <x:f>1+COUNTIFS($C$4:$C$802,C631,$G$4:$G$802,"&gt;"&amp;G631)</x:f>
        <x:v>17</x:v>
      </x:c>
      <x:c r="I631" s="128" t="n">
        <x:f>D631/SUMIF($C$4:$C$802,C631,$D$4:$D$802)</x:f>
        <x:v>0.011982197877439232</x:v>
      </x:c>
      <x:c r="J631" s="103" t="n">
        <x:f>(D631/SUMIF($A$4:$A$802,A631,$D$4:$D$802))/(SUMIF($C$4:$C$802,C631,$D$4:$D$802)/SUM($D$4:$D$802))</x:f>
        <x:v>1.3746516061353928</x:v>
      </x:c>
    </x:row>
    <x:row r="632">
      <x:c r="A632" s="101" t="str">
        <x:v>香川県</x:v>
      </x:c>
      <x:c r="B632" s="101" t="str">
        <x:v>R</x:v>
      </x:c>
      <x:c r="C632" s="101" t="str">
        <x:v>サービス業（他に分類されないもの）</x:v>
      </x:c>
      <x:c r="D632" s="102" t="n">
        <x:v>3595</x:v>
      </x:c>
      <x:c r="E632" s="102" t="n">
        <x:f>1+COUNTIFS($C$4:$C$802,C632,$D$4:$D$802,"&gt;"&amp;D632)</x:f>
        <x:v>38</x:v>
      </x:c>
      <x:c r="F632" s="102" t="n">
        <x:v>950244</x:v>
      </x:c>
      <x:c r="G632" s="126" t="n">
        <x:f>D632/F632*100000</x:f>
        <x:v>378.3238831289648</x:v>
      </x:c>
      <x:c r="H632" s="127" t="n">
        <x:f>1+COUNTIFS($C$4:$C$802,C632,$G$4:$G$802,"&gt;"&amp;G632)</x:f>
        <x:v>12</x:v>
      </x:c>
      <x:c r="I632" s="128" t="n">
        <x:f>D632/SUMIF($C$4:$C$802,C632,$D$4:$D$802)</x:f>
        <x:v>0.009736953295125835</x:v>
      </x:c>
      <x:c r="J632" s="103" t="n">
        <x:f>(D632/SUMIF($A$4:$A$802,A632,$D$4:$D$802))/(SUMIF($C$4:$C$802,C632,$D$4:$D$802)/SUM($D$4:$D$802))</x:f>
        <x:v>1.117067054218152</x:v>
      </x:c>
    </x:row>
    <x:row r="633">
      <x:c r="A633" s="101" t="str">
        <x:v>愛媛県</x:v>
      </x:c>
      <x:c r="B633" s="101" t="str">
        <x:v>AB</x:v>
      </x:c>
      <x:c r="C633" s="101" t="str">
        <x:v>農林漁業</x:v>
      </x:c>
      <x:c r="D633" s="102" t="n">
        <x:v>709</x:v>
      </x:c>
      <x:c r="E633" s="102" t="n">
        <x:f>1+COUNTIFS($C$4:$C$802,C633,$D$4:$D$802,"&gt;"&amp;D633)</x:f>
        <x:v>30</x:v>
      </x:c>
      <x:c r="F633" s="102" t="n">
        <x:v>1334841</x:v>
      </x:c>
      <x:c r="G633" s="126" t="n">
        <x:f>D633/F633*100000</x:f>
        <x:v>53.114940281276944</x:v>
      </x:c>
      <x:c r="H633" s="127" t="n">
        <x:f>1+COUNTIFS($C$4:$C$802,C633,$G$4:$G$802,"&gt;"&amp;G633)</x:f>
        <x:v>21</x:v>
      </x:c>
      <x:c r="I633" s="128" t="n">
        <x:f>D633/SUMIF($C$4:$C$802,C633,$D$4:$D$802)</x:f>
        <x:v>0.016698855339394227</x:v>
      </x:c>
      <x:c r="J633" s="103" t="n">
        <x:f>(D633/SUMIF($A$4:$A$802,A633,$D$4:$D$802))/(SUMIF($C$4:$C$802,C633,$D$4:$D$802)/SUM($D$4:$D$802))</x:f>
        <x:v>1.4419753836510303</x:v>
      </x:c>
    </x:row>
    <x:row r="634">
      <x:c r="A634" s="101" t="str">
        <x:v>愛媛県</x:v>
      </x:c>
      <x:c r="B634" s="101" t="str">
        <x:v>C</x:v>
      </x:c>
      <x:c r="C634" s="101" t="str">
        <x:v>鉱業，採石業，砂利採取業</x:v>
      </x:c>
      <x:c r="D634" s="102" t="n">
        <x:v>29</x:v>
      </x:c>
      <x:c r="E634" s="102" t="n">
        <x:f>1+COUNTIFS($C$4:$C$802,C634,$D$4:$D$802,"&gt;"&amp;D634)</x:f>
        <x:v>25</x:v>
      </x:c>
      <x:c r="F634" s="102" t="n">
        <x:v>1334841</x:v>
      </x:c>
      <x:c r="G634" s="126" t="n">
        <x:f>D634/F634*100000</x:f>
        <x:v>2.1725433965543464</x:v>
      </x:c>
      <x:c r="H634" s="127" t="n">
        <x:f>1+COUNTIFS($C$4:$C$802,C634,$G$4:$G$802,"&gt;"&amp;G634)</x:f>
        <x:v>24</x:v>
      </x:c>
      <x:c r="I634" s="128" t="n">
        <x:f>D634/SUMIF($C$4:$C$802,C634,$D$4:$D$802)</x:f>
        <x:v>0.015549597855227882</x:v>
      </x:c>
      <x:c r="J634" s="103" t="n">
        <x:f>(D634/SUMIF($A$4:$A$802,A634,$D$4:$D$802))/(SUMIF($C$4:$C$802,C634,$D$4:$D$802)/SUM($D$4:$D$802))</x:f>
        <x:v>1.3427349885483142</x:v>
      </x:c>
    </x:row>
    <x:row r="635">
      <x:c r="A635" s="101" t="str">
        <x:v>愛媛県</x:v>
      </x:c>
      <x:c r="B635" s="101" t="str">
        <x:v>D</x:v>
      </x:c>
      <x:c r="C635" s="101" t="str">
        <x:v>建設業</x:v>
      </x:c>
      <x:c r="D635" s="102" t="n">
        <x:v>5925</x:v>
      </x:c>
      <x:c r="E635" s="102" t="n">
        <x:f>1+COUNTIFS($C$4:$C$802,C635,$D$4:$D$802,"&gt;"&amp;D635)</x:f>
        <x:v>26</x:v>
      </x:c>
      <x:c r="F635" s="102" t="n">
        <x:v>1334841</x:v>
      </x:c>
      <x:c r="G635" s="126" t="n">
        <x:f>D635/F635*100000</x:f>
        <x:v>443.87309050291384</x:v>
      </x:c>
      <x:c r="H635" s="127" t="n">
        <x:f>1+COUNTIFS($C$4:$C$802,C635,$G$4:$G$802,"&gt;"&amp;G635)</x:f>
        <x:v>23</x:v>
      </x:c>
      <x:c r="I635" s="128" t="n">
        <x:f>D635/SUMIF($C$4:$C$802,C635,$D$4:$D$802)</x:f>
        <x:v>0.012213095323981984</x:v>
      </x:c>
      <x:c r="J635" s="103" t="n">
        <x:f>(D635/SUMIF($A$4:$A$802,A635,$D$4:$D$802))/(SUMIF($C$4:$C$802,C635,$D$4:$D$802)/SUM($D$4:$D$802))</x:f>
        <x:v>1.0546221556767128</x:v>
      </x:c>
    </x:row>
    <x:row r="636">
      <x:c r="A636" s="101" t="str">
        <x:v>愛媛県</x:v>
      </x:c>
      <x:c r="B636" s="101" t="str">
        <x:v>E</x:v>
      </x:c>
      <x:c r="C636" s="101" t="str">
        <x:v>製造業</x:v>
      </x:c>
      <x:c r="D636" s="102" t="n">
        <x:v>4529</x:v>
      </x:c>
      <x:c r="E636" s="102" t="n">
        <x:f>1+COUNTIFS($C$4:$C$802,C636,$D$4:$D$802,"&gt;"&amp;D636)</x:f>
        <x:v>27</x:v>
      </x:c>
      <x:c r="F636" s="102" t="n">
        <x:v>1334841</x:v>
      </x:c>
      <x:c r="G636" s="126" t="n">
        <x:f>D636/F636*100000</x:f>
        <x:v>339.2913463101598</x:v>
      </x:c>
      <x:c r="H636" s="127" t="n">
        <x:f>1+COUNTIFS($C$4:$C$802,C636,$G$4:$G$802,"&gt;"&amp;G636)</x:f>
        <x:v>21</x:v>
      </x:c>
      <x:c r="I636" s="128" t="n">
        <x:f>D636/SUMIF($C$4:$C$802,C636,$D$4:$D$802)</x:f>
        <x:v>0.010976280667059283</x:v>
      </x:c>
      <x:c r="J636" s="103" t="n">
        <x:f>(D636/SUMIF($A$4:$A$802,A636,$D$4:$D$802))/(SUMIF($C$4:$C$802,C636,$D$4:$D$802)/SUM($D$4:$D$802))</x:f>
        <x:v>0.9478210454704351</x:v>
      </x:c>
    </x:row>
    <x:row r="637">
      <x:c r="A637" s="101" t="str">
        <x:v>愛媛県</x:v>
      </x:c>
      <x:c r="B637" s="101" t="str">
        <x:v>F</x:v>
      </x:c>
      <x:c r="C637" s="101" t="str">
        <x:v>電気・ガス・熱供給・水道業</x:v>
      </x:c>
      <x:c r="D637" s="102" t="n">
        <x:v>122</x:v>
      </x:c>
      <x:c r="E637" s="102" t="n">
        <x:f>1+COUNTIFS($C$4:$C$802,C637,$D$4:$D$802,"&gt;"&amp;D637)</x:f>
        <x:v>31</x:v>
      </x:c>
      <x:c r="F637" s="102" t="n">
        <x:v>1334841</x:v>
      </x:c>
      <x:c r="G637" s="126" t="n">
        <x:f>D637/F637*100000</x:f>
        <x:v>9.139665323435526</x:v>
      </x:c>
      <x:c r="H637" s="127" t="n">
        <x:f>1+COUNTIFS($C$4:$C$802,C637,$G$4:$G$802,"&gt;"&amp;G637)</x:f>
        <x:v>21</x:v>
      </x:c>
      <x:c r="I637" s="128" t="n">
        <x:f>D637/SUMIF($C$4:$C$802,C637,$D$4:$D$802)</x:f>
        <x:v>0.013349381770434402</x:v>
      </x:c>
      <x:c r="J637" s="103" t="n">
        <x:f>(D637/SUMIF($A$4:$A$802,A637,$D$4:$D$802))/(SUMIF($C$4:$C$802,C637,$D$4:$D$802)/SUM($D$4:$D$802))</x:f>
        <x:v>1.152742478971886</x:v>
      </x:c>
    </x:row>
    <x:row r="638">
      <x:c r="A638" s="101" t="str">
        <x:v>愛媛県</x:v>
      </x:c>
      <x:c r="B638" s="101" t="str">
        <x:v>G</x:v>
      </x:c>
      <x:c r="C638" s="101" t="str">
        <x:v>情報通信業</x:v>
      </x:c>
      <x:c r="D638" s="102" t="n">
        <x:v>510</x:v>
      </x:c>
      <x:c r="E638" s="102" t="n">
        <x:f>1+COUNTIFS($C$4:$C$802,C638,$D$4:$D$802,"&gt;"&amp;D638)</x:f>
        <x:v>25</x:v>
      </x:c>
      <x:c r="F638" s="102" t="n">
        <x:v>1334841</x:v>
      </x:c>
      <x:c r="G638" s="126" t="n">
        <x:f>D638/F638*100000</x:f>
        <x:v>38.20679766354195</x:v>
      </x:c>
      <x:c r="H638" s="127" t="n">
        <x:f>1+COUNTIFS($C$4:$C$802,C638,$G$4:$G$802,"&gt;"&amp;G638)</x:f>
        <x:v>18</x:v>
      </x:c>
      <x:c r="I638" s="128" t="n">
        <x:f>D638/SUMIF($C$4:$C$802,C638,$D$4:$D$802)</x:f>
        <x:v>0.006661529016836688</x:v>
      </x:c>
      <x:c r="J638" s="103" t="n">
        <x:f>(D638/SUMIF($A$4:$A$802,A638,$D$4:$D$802))/(SUMIF($C$4:$C$802,C638,$D$4:$D$802)/SUM($D$4:$D$802))</x:f>
        <x:v>0.5752346891163629</x:v>
      </x:c>
    </x:row>
    <x:row r="639">
      <x:c r="A639" s="101" t="str">
        <x:v>愛媛県</x:v>
      </x:c>
      <x:c r="B639" s="101" t="str">
        <x:v>H</x:v>
      </x:c>
      <x:c r="C639" s="101" t="str">
        <x:v>運輸業，郵便業</x:v>
      </x:c>
      <x:c r="D639" s="102" t="n">
        <x:v>1670</x:v>
      </x:c>
      <x:c r="E639" s="102" t="n">
        <x:f>1+COUNTIFS($C$4:$C$802,C639,$D$4:$D$802,"&gt;"&amp;D639)</x:f>
        <x:v>24</x:v>
      </x:c>
      <x:c r="F639" s="102" t="n">
        <x:v>1334841</x:v>
      </x:c>
      <x:c r="G639" s="126" t="n">
        <x:f>D639/F639*100000</x:f>
        <x:v>125.1085335257158</x:v>
      </x:c>
      <x:c r="H639" s="127" t="n">
        <x:f>1+COUNTIFS($C$4:$C$802,C639,$G$4:$G$802,"&gt;"&amp;G639)</x:f>
        <x:v>2</x:v>
      </x:c>
      <x:c r="I639" s="128" t="n">
        <x:f>D639/SUMIF($C$4:$C$802,C639,$D$4:$D$802)</x:f>
        <x:v>0.013024082855003744</x:v>
      </x:c>
      <x:c r="J639" s="103" t="n">
        <x:f>(D639/SUMIF($A$4:$A$802,A639,$D$4:$D$802))/(SUMIF($C$4:$C$802,C639,$D$4:$D$802)/SUM($D$4:$D$802))</x:f>
        <x:v>1.1246523483104869</x:v>
      </x:c>
    </x:row>
    <x:row r="640">
      <x:c r="A640" s="101" t="str">
        <x:v>愛媛県</x:v>
      </x:c>
      <x:c r="B640" s="101" t="str">
        <x:v>I</x:v>
      </x:c>
      <x:c r="C640" s="101" t="str">
        <x:v>卸売業，小売業</x:v>
      </x:c>
      <x:c r="D640" s="102" t="n">
        <x:v>15214</x:v>
      </x:c>
      <x:c r="E640" s="102" t="n">
        <x:f>1+COUNTIFS($C$4:$C$802,C640,$D$4:$D$802,"&gt;"&amp;D640)</x:f>
        <x:v>26</x:v>
      </x:c>
      <x:c r="F640" s="102" t="n">
        <x:v>1334841</x:v>
      </x:c>
      <x:c r="G640" s="126" t="n">
        <x:f>D640/F640*100000</x:f>
        <x:v>1139.7612150061318</x:v>
      </x:c>
      <x:c r="H640" s="127" t="n">
        <x:f>1+COUNTIFS($C$4:$C$802,C640,$G$4:$G$802,"&gt;"&amp;G640)</x:f>
        <x:v>16</x:v>
      </x:c>
      <x:c r="I640" s="128" t="n">
        <x:f>D640/SUMIF($C$4:$C$802,C640,$D$4:$D$802)</x:f>
        <x:v>0.012379975913810501</x:v>
      </x:c>
      <x:c r="J640" s="103" t="n">
        <x:f>(D640/SUMIF($A$4:$A$802,A640,$D$4:$D$802))/(SUMIF($C$4:$C$802,C640,$D$4:$D$802)/SUM($D$4:$D$802))</x:f>
        <x:v>1.0690325866703987</x:v>
      </x:c>
    </x:row>
    <x:row r="641">
      <x:c r="A641" s="101" t="str">
        <x:v>愛媛県</x:v>
      </x:c>
      <x:c r="B641" s="101" t="str">
        <x:v>J</x:v>
      </x:c>
      <x:c r="C641" s="101" t="str">
        <x:v>金融業，保険業</x:v>
      </x:c>
      <x:c r="D641" s="102" t="n">
        <x:v>1112</x:v>
      </x:c>
      <x:c r="E641" s="102" t="n">
        <x:f>1+COUNTIFS($C$4:$C$802,C641,$D$4:$D$802,"&gt;"&amp;D641)</x:f>
        <x:v>25</x:v>
      </x:c>
      <x:c r="F641" s="102" t="n">
        <x:v>1334841</x:v>
      </x:c>
      <x:c r="G641" s="126" t="n">
        <x:f>D641/F641*100000</x:f>
        <x:v>83.30580196442872</x:v>
      </x:c>
      <x:c r="H641" s="127" t="n">
        <x:f>1+COUNTIFS($C$4:$C$802,C641,$G$4:$G$802,"&gt;"&amp;G641)</x:f>
        <x:v>10</x:v>
      </x:c>
      <x:c r="I641" s="128" t="n">
        <x:f>D641/SUMIF($C$4:$C$802,C641,$D$4:$D$802)</x:f>
        <x:v>0.013261460668797406</x:v>
      </x:c>
      <x:c r="J641" s="103" t="n">
        <x:f>(D641/SUMIF($A$4:$A$802,A641,$D$4:$D$802))/(SUMIF($C$4:$C$802,C641,$D$4:$D$802)/SUM($D$4:$D$802))</x:f>
        <x:v>1.14515033797256</x:v>
      </x:c>
    </x:row>
    <x:row r="642">
      <x:c r="A642" s="101" t="str">
        <x:v>愛媛県</x:v>
      </x:c>
      <x:c r="B642" s="101" t="str">
        <x:v>K</x:v>
      </x:c>
      <x:c r="C642" s="101" t="str">
        <x:v>不動産業，物品賃貸業</x:v>
      </x:c>
      <x:c r="D642" s="102" t="n">
        <x:v>3430</x:v>
      </x:c>
      <x:c r="E642" s="102" t="n">
        <x:f>1+COUNTIFS($C$4:$C$802,C642,$D$4:$D$802,"&gt;"&amp;D642)</x:f>
        <x:v>27</x:v>
      </x:c>
      <x:c r="F642" s="102" t="n">
        <x:v>1334841</x:v>
      </x:c>
      <x:c r="G642" s="126" t="n">
        <x:f>D642/F642*100000</x:f>
        <x:v>256.9594431097037</x:v>
      </x:c>
      <x:c r="H642" s="127" t="n">
        <x:f>1+COUNTIFS($C$4:$C$802,C642,$G$4:$G$802,"&gt;"&amp;G642)</x:f>
        <x:v>25</x:v>
      </x:c>
      <x:c r="I642" s="128" t="n">
        <x:f>D642/SUMIF($C$4:$C$802,C642,$D$4:$D$802)</x:f>
        <x:v>0.009159954707629201</x:v>
      </x:c>
      <x:c r="J642" s="103" t="n">
        <x:f>(D642/SUMIF($A$4:$A$802,A642,$D$4:$D$802))/(SUMIF($C$4:$C$802,C642,$D$4:$D$802)/SUM($D$4:$D$802))</x:f>
        <x:v>0.7909781200750752</x:v>
      </x:c>
    </x:row>
    <x:row r="643">
      <x:c r="A643" s="101" t="str">
        <x:v>愛媛県</x:v>
      </x:c>
      <x:c r="B643" s="101" t="str">
        <x:v>L</x:v>
      </x:c>
      <x:c r="C643" s="101" t="str">
        <x:v>学術研究，専門・技術サービス業</x:v>
      </x:c>
      <x:c r="D643" s="102" t="n">
        <x:v>2427</x:v>
      </x:c>
      <x:c r="E643" s="102" t="n">
        <x:f>1+COUNTIFS($C$4:$C$802,C643,$D$4:$D$802,"&gt;"&amp;D643)</x:f>
        <x:v>27</x:v>
      </x:c>
      <x:c r="F643" s="102" t="n">
        <x:v>1334841</x:v>
      </x:c>
      <x:c r="G643" s="126" t="n">
        <x:f>D643/F643*100000</x:f>
        <x:v>181.81940770473787</x:v>
      </x:c>
      <x:c r="H643" s="127" t="n">
        <x:f>1+COUNTIFS($C$4:$C$802,C643,$G$4:$G$802,"&gt;"&amp;G643)</x:f>
        <x:v>24</x:v>
      </x:c>
      <x:c r="I643" s="128" t="n">
        <x:f>D643/SUMIF($C$4:$C$802,C643,$D$4:$D$802)</x:f>
        <x:v>0.009617975747008005</x:v>
      </x:c>
      <x:c r="J643" s="103" t="n">
        <x:f>(D643/SUMIF($A$4:$A$802,A643,$D$4:$D$802))/(SUMIF($C$4:$C$802,C643,$D$4:$D$802)/SUM($D$4:$D$802))</x:f>
        <x:v>0.8305290384197846</x:v>
      </x:c>
    </x:row>
    <x:row r="644">
      <x:c r="A644" s="101" t="str">
        <x:v>愛媛県</x:v>
      </x:c>
      <x:c r="B644" s="101" t="str">
        <x:v>M</x:v>
      </x:c>
      <x:c r="C644" s="101" t="str">
        <x:v>宿泊業，飲食サービス業</x:v>
      </x:c>
      <x:c r="D644" s="102" t="n">
        <x:v>6546</x:v>
      </x:c>
      <x:c r="E644" s="102" t="n">
        <x:f>1+COUNTIFS($C$4:$C$802,C644,$D$4:$D$802,"&gt;"&amp;D644)</x:f>
        <x:v>28</x:v>
      </x:c>
      <x:c r="F644" s="102" t="n">
        <x:v>1334841</x:v>
      </x:c>
      <x:c r="G644" s="126" t="n">
        <x:f>D644/F644*100000</x:f>
        <x:v>490.3954853049914</x:v>
      </x:c>
      <x:c r="H644" s="127" t="n">
        <x:f>1+COUNTIFS($C$4:$C$802,C644,$G$4:$G$802,"&gt;"&amp;G644)</x:f>
        <x:v>28</x:v>
      </x:c>
      <x:c r="I644" s="128" t="n">
        <x:f>D644/SUMIF($C$4:$C$802,C644,$D$4:$D$802)</x:f>
        <x:v>0.010927155634345924</x:v>
      </x:c>
      <x:c r="J644" s="103" t="n">
        <x:f>(D644/SUMIF($A$4:$A$802,A644,$D$4:$D$802))/(SUMIF($C$4:$C$802,C644,$D$4:$D$802)/SUM($D$4:$D$802))</x:f>
        <x:v>0.9435790129206589</x:v>
      </x:c>
    </x:row>
    <x:row r="645">
      <x:c r="A645" s="101" t="str">
        <x:v>愛媛県</x:v>
      </x:c>
      <x:c r="B645" s="101" t="str">
        <x:v>N</x:v>
      </x:c>
      <x:c r="C645" s="101" t="str">
        <x:v>生活関連サービス業，娯楽業</x:v>
      </x:c>
      <x:c r="D645" s="102" t="n">
        <x:v>5405</x:v>
      </x:c>
      <x:c r="E645" s="102" t="n">
        <x:f>1+COUNTIFS($C$4:$C$802,C645,$D$4:$D$802,"&gt;"&amp;D645)</x:f>
        <x:v>29</x:v>
      </x:c>
      <x:c r="F645" s="102" t="n">
        <x:v>1334841</x:v>
      </x:c>
      <x:c r="G645" s="126" t="n">
        <x:f>D645/F645*100000</x:f>
        <x:v>404.91713994400834</x:v>
      </x:c>
      <x:c r="H645" s="127" t="n">
        <x:f>1+COUNTIFS($C$4:$C$802,C645,$G$4:$G$802,"&gt;"&amp;G645)</x:f>
        <x:v>20</x:v>
      </x:c>
      <x:c r="I645" s="128" t="n">
        <x:f>D645/SUMIF($C$4:$C$802,C645,$D$4:$D$802)</x:f>
        <x:v>0.01244792254421258</x:v>
      </x:c>
      <x:c r="J645" s="103" t="n">
        <x:f>(D645/SUMIF($A$4:$A$802,A645,$D$4:$D$802))/(SUMIF($C$4:$C$802,C645,$D$4:$D$802)/SUM($D$4:$D$802))</x:f>
        <x:v>1.0748998971207562</x:v>
      </x:c>
    </x:row>
    <x:row r="646">
      <x:c r="A646" s="101" t="str">
        <x:v>愛媛県</x:v>
      </x:c>
      <x:c r="B646" s="101" t="str">
        <x:v>O</x:v>
      </x:c>
      <x:c r="C646" s="101" t="str">
        <x:v>教育，学習支援業</x:v>
      </x:c>
      <x:c r="D646" s="102" t="n">
        <x:v>1622</x:v>
      </x:c>
      <x:c r="E646" s="102" t="n">
        <x:f>1+COUNTIFS($C$4:$C$802,C646,$D$4:$D$802,"&gt;"&amp;D646)</x:f>
        <x:v>31</x:v>
      </x:c>
      <x:c r="F646" s="102" t="n">
        <x:v>1334841</x:v>
      </x:c>
      <x:c r="G646" s="126" t="n">
        <x:f>D646/F646*100000</x:f>
        <x:v>121.51259962797067</x:v>
      </x:c>
      <x:c r="H646" s="127" t="n">
        <x:f>1+COUNTIFS($C$4:$C$802,C646,$G$4:$G$802,"&gt;"&amp;G646)</x:f>
        <x:v>33</x:v>
      </x:c>
      <x:c r="I646" s="128" t="n">
        <x:f>D646/SUMIF($C$4:$C$802,C646,$D$4:$D$802)</x:f>
        <x:v>0.009929173527917383</x:v>
      </x:c>
      <x:c r="J646" s="103" t="n">
        <x:f>(D646/SUMIF($A$4:$A$802,A646,$D$4:$D$802))/(SUMIF($C$4:$C$802,C646,$D$4:$D$802)/SUM($D$4:$D$802))</x:f>
        <x:v>0.8574015114365147</x:v>
      </x:c>
    </x:row>
    <x:row r="647">
      <x:c r="A647" s="101" t="str">
        <x:v>愛媛県</x:v>
      </x:c>
      <x:c r="B647" s="101" t="str">
        <x:v>P</x:v>
      </x:c>
      <x:c r="C647" s="101" t="str">
        <x:v>医療，福祉</x:v>
      </x:c>
      <x:c r="D647" s="102" t="n">
        <x:v>5302</x:v>
      </x:c>
      <x:c r="E647" s="102" t="n">
        <x:f>1+COUNTIFS($C$4:$C$802,C647,$D$4:$D$802,"&gt;"&amp;D647)</x:f>
        <x:v>27</x:v>
      </x:c>
      <x:c r="F647" s="102" t="n">
        <x:v>1334841</x:v>
      </x:c>
      <x:c r="G647" s="126" t="n">
        <x:f>D647/F647*100000</x:f>
        <x:v>397.2008651217635</x:v>
      </x:c>
      <x:c r="H647" s="127" t="n">
        <x:f>1+COUNTIFS($C$4:$C$802,C647,$G$4:$G$802,"&gt;"&amp;G647)</x:f>
        <x:v>18</x:v>
      </x:c>
      <x:c r="I647" s="128" t="n">
        <x:f>D647/SUMIF($C$4:$C$802,C647,$D$4:$D$802)</x:f>
        <x:v>0.011463015451937276</x:v>
      </x:c>
      <x:c r="J647" s="103" t="n">
        <x:f>(D647/SUMIF($A$4:$A$802,A647,$D$4:$D$802))/(SUMIF($C$4:$C$802,C647,$D$4:$D$802)/SUM($D$4:$D$802))</x:f>
        <x:v>0.9898514459916606</x:v>
      </x:c>
    </x:row>
    <x:row r="648">
      <x:c r="A648" s="101" t="str">
        <x:v>愛媛県</x:v>
      </x:c>
      <x:c r="B648" s="101" t="str">
        <x:v>Q</x:v>
      </x:c>
      <x:c r="C648" s="101" t="str">
        <x:v>複合サービス事業</x:v>
      </x:c>
      <x:c r="D648" s="102" t="n">
        <x:v>595</x:v>
      </x:c>
      <x:c r="E648" s="102" t="n">
        <x:f>1+COUNTIFS($C$4:$C$802,C648,$D$4:$D$802,"&gt;"&amp;D648)</x:f>
        <x:v>23</x:v>
      </x:c>
      <x:c r="F648" s="102" t="n">
        <x:v>1334841</x:v>
      </x:c>
      <x:c r="G648" s="126" t="n">
        <x:f>D648/F648*100000</x:f>
        <x:v>44.57459727413227</x:v>
      </x:c>
      <x:c r="H648" s="127" t="n">
        <x:f>1+COUNTIFS($C$4:$C$802,C648,$G$4:$G$802,"&gt;"&amp;G648)</x:f>
        <x:v>9</x:v>
      </x:c>
      <x:c r="I648" s="128" t="n">
        <x:f>D648/SUMIF($C$4:$C$802,C648,$D$4:$D$802)</x:f>
        <x:v>0.01851794217422427</x:v>
      </x:c>
      <x:c r="J648" s="103" t="n">
        <x:f>(D648/SUMIF($A$4:$A$802,A648,$D$4:$D$802))/(SUMIF($C$4:$C$802,C648,$D$4:$D$802)/SUM($D$4:$D$802))</x:f>
        <x:v>1.5990567154690556</x:v>
      </x:c>
    </x:row>
    <x:row r="649">
      <x:c r="A649" s="101" t="str">
        <x:v>愛媛県</x:v>
      </x:c>
      <x:c r="B649" s="101" t="str">
        <x:v>R</x:v>
      </x:c>
      <x:c r="C649" s="101" t="str">
        <x:v>サービス業（他に分類されないもの）</x:v>
      </x:c>
      <x:c r="D649" s="102" t="n">
        <x:v>4563</x:v>
      </x:c>
      <x:c r="E649" s="102" t="n">
        <x:f>1+COUNTIFS($C$4:$C$802,C649,$D$4:$D$802,"&gt;"&amp;D649)</x:f>
        <x:v>27</x:v>
      </x:c>
      <x:c r="F649" s="102" t="n">
        <x:v>1334841</x:v>
      </x:c>
      <x:c r="G649" s="126" t="n">
        <x:f>D649/F649*100000</x:f>
        <x:v>341.8384661543959</x:v>
      </x:c>
      <x:c r="H649" s="127" t="n">
        <x:f>1+COUNTIFS($C$4:$C$802,C649,$G$4:$G$802,"&gt;"&amp;G649)</x:f>
        <x:v>18</x:v>
      </x:c>
      <x:c r="I649" s="128" t="n">
        <x:f>D649/SUMIF($C$4:$C$802,C649,$D$4:$D$802)</x:f>
        <x:v>0.012358753236622862</x:v>
      </x:c>
      <x:c r="J649" s="103" t="n">
        <x:f>(D649/SUMIF($A$4:$A$802,A649,$D$4:$D$802))/(SUMIF($C$4:$C$802,C649,$D$4:$D$802)/SUM($D$4:$D$802))</x:f>
        <x:v>1.0671999713528955</x:v>
      </x:c>
    </x:row>
    <x:row r="650">
      <x:c r="A650" s="101" t="str">
        <x:v>高知県</x:v>
      </x:c>
      <x:c r="B650" s="101" t="str">
        <x:v>AB</x:v>
      </x:c>
      <x:c r="C650" s="101" t="str">
        <x:v>農林漁業</x:v>
      </x:c>
      <x:c r="D650" s="102" t="n">
        <x:v>485</x:v>
      </x:c>
      <x:c r="E650" s="102" t="n">
        <x:f>1+COUNTIFS($C$4:$C$802,C650,$D$4:$D$802,"&gt;"&amp;D650)</x:f>
        <x:v>40</x:v>
      </x:c>
      <x:c r="F650" s="102" t="n">
        <x:v>691527</x:v>
      </x:c>
      <x:c r="G650" s="126" t="n">
        <x:f>D650/F650*100000</x:f>
        <x:v>70.13464405583585</x:v>
      </x:c>
      <x:c r="H650" s="127" t="n">
        <x:f>1+COUNTIFS($C$4:$C$802,C650,$G$4:$G$802,"&gt;"&amp;G650)</x:f>
        <x:v>13</x:v>
      </x:c>
      <x:c r="I650" s="128" t="n">
        <x:f>D650/SUMIF($C$4:$C$802,C650,$D$4:$D$802)</x:f>
        <x:v>0.011423053370389562</x:v>
      </x:c>
      <x:c r="J650" s="103" t="n">
        <x:f>(D650/SUMIF($A$4:$A$802,A650,$D$4:$D$802))/(SUMIF($C$4:$C$802,C650,$D$4:$D$802)/SUM($D$4:$D$802))</x:f>
        <x:v>1.7813326527368414</x:v>
      </x:c>
    </x:row>
    <x:row r="651">
      <x:c r="A651" s="101" t="str">
        <x:v>高知県</x:v>
      </x:c>
      <x:c r="B651" s="101" t="str">
        <x:v>C</x:v>
      </x:c>
      <x:c r="C651" s="101" t="str">
        <x:v>鉱業，採石業，砂利採取業</x:v>
      </x:c>
      <x:c r="D651" s="102" t="n">
        <x:v>28</x:v>
      </x:c>
      <x:c r="E651" s="102" t="n">
        <x:f>1+COUNTIFS($C$4:$C$802,C651,$D$4:$D$802,"&gt;"&amp;D651)</x:f>
        <x:v>30</x:v>
      </x:c>
      <x:c r="F651" s="102" t="n">
        <x:v>691527</x:v>
      </x:c>
      <x:c r="G651" s="126" t="n">
        <x:f>D651/F651*100000</x:f>
        <x:v>4.0490103784812455</x:v>
      </x:c>
      <x:c r="H651" s="127" t="n">
        <x:f>1+COUNTIFS($C$4:$C$802,C651,$G$4:$G$802,"&gt;"&amp;G651)</x:f>
        <x:v>4</x:v>
      </x:c>
      <x:c r="I651" s="128" t="n">
        <x:f>D651/SUMIF($C$4:$C$802,C651,$D$4:$D$802)</x:f>
        <x:v>0.015013404825737266</x:v>
      </x:c>
      <x:c r="J651" s="103" t="n">
        <x:f>(D651/SUMIF($A$4:$A$802,A651,$D$4:$D$802))/(SUMIF($C$4:$C$802,C651,$D$4:$D$802)/SUM($D$4:$D$802))</x:f>
        <x:v>2.3412188823495454</x:v>
      </x:c>
    </x:row>
    <x:row r="652">
      <x:c r="A652" s="101" t="str">
        <x:v>高知県</x:v>
      </x:c>
      <x:c r="B652" s="101" t="str">
        <x:v>D</x:v>
      </x:c>
      <x:c r="C652" s="101" t="str">
        <x:v>建設業</x:v>
      </x:c>
      <x:c r="D652" s="102" t="n">
        <x:v>2894</x:v>
      </x:c>
      <x:c r="E652" s="102" t="n">
        <x:f>1+COUNTIFS($C$4:$C$802,C652,$D$4:$D$802,"&gt;"&amp;D652)</x:f>
        <x:v>46</x:v>
      </x:c>
      <x:c r="F652" s="102" t="n">
        <x:v>691527</x:v>
      </x:c>
      <x:c r="G652" s="126" t="n">
        <x:f>D652/F652*100000</x:f>
        <x:v>418.4941441187401</x:v>
      </x:c>
      <x:c r="H652" s="127" t="n">
        <x:f>1+COUNTIFS($C$4:$C$802,C652,$G$4:$G$802,"&gt;"&amp;G652)</x:f>
        <x:v>30</x:v>
      </x:c>
      <x:c r="I652" s="128" t="n">
        <x:f>D652/SUMIF($C$4:$C$802,C652,$D$4:$D$802)</x:f>
        <x:v>0.005965349851072382</x:v>
      </x:c>
      <x:c r="J652" s="103" t="n">
        <x:f>(D652/SUMIF($A$4:$A$802,A652,$D$4:$D$802))/(SUMIF($C$4:$C$802,C652,$D$4:$D$802)/SUM($D$4:$D$802))</x:f>
        <x:v>0.9302479932606404</x:v>
      </x:c>
    </x:row>
    <x:row r="653">
      <x:c r="A653" s="101" t="str">
        <x:v>高知県</x:v>
      </x:c>
      <x:c r="B653" s="101" t="str">
        <x:v>E</x:v>
      </x:c>
      <x:c r="C653" s="101" t="str">
        <x:v>製造業</x:v>
      </x:c>
      <x:c r="D653" s="102" t="n">
        <x:v>2090</x:v>
      </x:c>
      <x:c r="E653" s="102" t="n">
        <x:f>1+COUNTIFS($C$4:$C$802,C653,$D$4:$D$802,"&gt;"&amp;D653)</x:f>
        <x:v>46</x:v>
      </x:c>
      <x:c r="F653" s="102" t="n">
        <x:v>691527</x:v>
      </x:c>
      <x:c r="G653" s="126" t="n">
        <x:f>D653/F653*100000</x:f>
        <x:v>302.2297032509215</x:v>
      </x:c>
      <x:c r="H653" s="127" t="n">
        <x:f>1+COUNTIFS($C$4:$C$802,C653,$G$4:$G$802,"&gt;"&amp;G653)</x:f>
        <x:v>31</x:v>
      </x:c>
      <x:c r="I653" s="128" t="n">
        <x:f>D653/SUMIF($C$4:$C$802,C653,$D$4:$D$802)</x:f>
        <x:v>0.005065229983253235</x:v>
      </x:c>
      <x:c r="J653" s="103" t="n">
        <x:f>(D653/SUMIF($A$4:$A$802,A653,$D$4:$D$802))/(SUMIF($C$4:$C$802,C653,$D$4:$D$802)/SUM($D$4:$D$802))</x:f>
        <x:v>0.7898815903442603</x:v>
      </x:c>
    </x:row>
    <x:row r="654">
      <x:c r="A654" s="101" t="str">
        <x:v>高知県</x:v>
      </x:c>
      <x:c r="B654" s="101" t="str">
        <x:v>F</x:v>
      </x:c>
      <x:c r="C654" s="101" t="str">
        <x:v>電気・ガス・熱供給・水道業</x:v>
      </x:c>
      <x:c r="D654" s="102" t="n">
        <x:v>106</x:v>
      </x:c>
      <x:c r="E654" s="102" t="n">
        <x:f>1+COUNTIFS($C$4:$C$802,C654,$D$4:$D$802,"&gt;"&amp;D654)</x:f>
        <x:v>32</x:v>
      </x:c>
      <x:c r="F654" s="102" t="n">
        <x:v>691527</x:v>
      </x:c>
      <x:c r="G654" s="126" t="n">
        <x:f>D654/F654*100000</x:f>
        <x:v>15.328396432821856</x:v>
      </x:c>
      <x:c r="H654" s="127" t="n">
        <x:f>1+COUNTIFS($C$4:$C$802,C654,$G$4:$G$802,"&gt;"&amp;G654)</x:f>
        <x:v>5</x:v>
      </x:c>
      <x:c r="I654" s="128" t="n">
        <x:f>D654/SUMIF($C$4:$C$802,C654,$D$4:$D$802)</x:f>
        <x:v>0.011598643177590545</x:v>
      </x:c>
      <x:c r="J654" s="103" t="n">
        <x:f>(D654/SUMIF($A$4:$A$802,A654,$D$4:$D$802))/(SUMIF($C$4:$C$802,C654,$D$4:$D$802)/SUM($D$4:$D$802))</x:f>
        <x:v>1.8087144609901114</x:v>
      </x:c>
    </x:row>
    <x:row r="655">
      <x:c r="A655" s="101" t="str">
        <x:v>高知県</x:v>
      </x:c>
      <x:c r="B655" s="101" t="str">
        <x:v>G</x:v>
      </x:c>
      <x:c r="C655" s="101" t="str">
        <x:v>情報通信業</x:v>
      </x:c>
      <x:c r="D655" s="102" t="n">
        <x:v>252</x:v>
      </x:c>
      <x:c r="E655" s="102" t="n">
        <x:f>1+COUNTIFS($C$4:$C$802,C655,$D$4:$D$802,"&gt;"&amp;D655)</x:f>
        <x:v>43</x:v>
      </x:c>
      <x:c r="F655" s="102" t="n">
        <x:v>691527</x:v>
      </x:c>
      <x:c r="G655" s="126" t="n">
        <x:f>D655/F655*100000</x:f>
        <x:v>36.441093406331206</x:v>
      </x:c>
      <x:c r="H655" s="127" t="n">
        <x:f>1+COUNTIFS($C$4:$C$802,C655,$G$4:$G$802,"&gt;"&amp;G655)</x:f>
        <x:v>23</x:v>
      </x:c>
      <x:c r="I655" s="128" t="n">
        <x:f>D655/SUMIF($C$4:$C$802,C655,$D$4:$D$802)</x:f>
        <x:v>0.0032915790436134225</x:v>
      </x:c>
      <x:c r="J655" s="103" t="n">
        <x:f>(D655/SUMIF($A$4:$A$802,A655,$D$4:$D$802))/(SUMIF($C$4:$C$802,C655,$D$4:$D$802)/SUM($D$4:$D$802))</x:f>
        <x:v>0.5132950918930121</x:v>
      </x:c>
    </x:row>
    <x:row r="656">
      <x:c r="A656" s="101" t="str">
        <x:v>高知県</x:v>
      </x:c>
      <x:c r="B656" s="101" t="str">
        <x:v>H</x:v>
      </x:c>
      <x:c r="C656" s="101" t="str">
        <x:v>運輸業，郵便業</x:v>
      </x:c>
      <x:c r="D656" s="102" t="n">
        <x:v>701</x:v>
      </x:c>
      <x:c r="E656" s="102" t="n">
        <x:f>1+COUNTIFS($C$4:$C$802,C656,$D$4:$D$802,"&gt;"&amp;D656)</x:f>
        <x:v>46</x:v>
      </x:c>
      <x:c r="F656" s="102" t="n">
        <x:v>691527</x:v>
      </x:c>
      <x:c r="G656" s="126" t="n">
        <x:f>D656/F656*100000</x:f>
        <x:v>101.36986697554832</x:v>
      </x:c>
      <x:c r="H656" s="127" t="n">
        <x:f>1+COUNTIFS($C$4:$C$802,C656,$G$4:$G$802,"&gt;"&amp;G656)</x:f>
        <x:v>25</x:v>
      </x:c>
      <x:c r="I656" s="128" t="n">
        <x:f>D656/SUMIF($C$4:$C$802,C656,$D$4:$D$802)</x:f>
        <x:v>0.005466995258297978</x:v>
      </x:c>
      <x:c r="J656" s="103" t="n">
        <x:f>(D656/SUMIF($A$4:$A$802,A656,$D$4:$D$802))/(SUMIF($C$4:$C$802,C656,$D$4:$D$802)/SUM($D$4:$D$802))</x:f>
        <x:v>0.8525336309123412</x:v>
      </x:c>
    </x:row>
    <x:row r="657">
      <x:c r="A657" s="101" t="str">
        <x:v>高知県</x:v>
      </x:c>
      <x:c r="B657" s="101" t="str">
        <x:v>I</x:v>
      </x:c>
      <x:c r="C657" s="101" t="str">
        <x:v>卸売業，小売業</x:v>
      </x:c>
      <x:c r="D657" s="102" t="n">
        <x:v>8753</x:v>
      </x:c>
      <x:c r="E657" s="102" t="n">
        <x:f>1+COUNTIFS($C$4:$C$802,C657,$D$4:$D$802,"&gt;"&amp;D657)</x:f>
        <x:v>44</x:v>
      </x:c>
      <x:c r="F657" s="102" t="n">
        <x:v>691527</x:v>
      </x:c>
      <x:c r="G657" s="126" t="n">
        <x:f>D657/F657*100000</x:f>
        <x:v>1265.7495658159407</x:v>
      </x:c>
      <x:c r="H657" s="127" t="n">
        <x:f>1+COUNTIFS($C$4:$C$802,C657,$G$4:$G$802,"&gt;"&amp;G657)</x:f>
        <x:v>1</x:v>
      </x:c>
      <x:c r="I657" s="128" t="n">
        <x:f>D657/SUMIF($C$4:$C$802,C657,$D$4:$D$802)</x:f>
        <x:v>0.007122514077401295</x:v>
      </x:c>
      <x:c r="J657" s="103" t="n">
        <x:f>(D657/SUMIF($A$4:$A$802,A657,$D$4:$D$802))/(SUMIF($C$4:$C$802,C657,$D$4:$D$802)/SUM($D$4:$D$802))</x:f>
        <x:v>1.110698381970359</x:v>
      </x:c>
    </x:row>
    <x:row r="658">
      <x:c r="A658" s="101" t="str">
        <x:v>高知県</x:v>
      </x:c>
      <x:c r="B658" s="101" t="str">
        <x:v>J</x:v>
      </x:c>
      <x:c r="C658" s="101" t="str">
        <x:v>金融業，保険業</x:v>
      </x:c>
      <x:c r="D658" s="102" t="n">
        <x:v>605</x:v>
      </x:c>
      <x:c r="E658" s="102" t="n">
        <x:f>1+COUNTIFS($C$4:$C$802,C658,$D$4:$D$802,"&gt;"&amp;D658)</x:f>
        <x:v>45</x:v>
      </x:c>
      <x:c r="F658" s="102" t="n">
        <x:v>691527</x:v>
      </x:c>
      <x:c r="G658" s="126" t="n">
        <x:f>D658/F658*100000</x:f>
        <x:v>87.48754567789834</x:v>
      </x:c>
      <x:c r="H658" s="127" t="n">
        <x:f>1+COUNTIFS($C$4:$C$802,C658,$G$4:$G$802,"&gt;"&amp;G658)</x:f>
        <x:v>4</x:v>
      </x:c>
      <x:c r="I658" s="128" t="n">
        <x:f>D658/SUMIF($C$4:$C$802,C658,$D$4:$D$802)</x:f>
        <x:v>0.007215093259552545</x:v>
      </x:c>
      <x:c r="J658" s="103" t="n">
        <x:f>(D658/SUMIF($A$4:$A$802,A658,$D$4:$D$802))/(SUMIF($C$4:$C$802,C658,$D$4:$D$802)/SUM($D$4:$D$802))</x:f>
        <x:v>1.1251353555869912</x:v>
      </x:c>
    </x:row>
    <x:row r="659">
      <x:c r="A659" s="101" t="str">
        <x:v>高知県</x:v>
      </x:c>
      <x:c r="B659" s="101" t="str">
        <x:v>K</x:v>
      </x:c>
      <x:c r="C659" s="101" t="str">
        <x:v>不動産業，物品賃貸業</x:v>
      </x:c>
      <x:c r="D659" s="102" t="n">
        <x:v>1466</x:v>
      </x:c>
      <x:c r="E659" s="102" t="n">
        <x:f>1+COUNTIFS($C$4:$C$802,C659,$D$4:$D$802,"&gt;"&amp;D659)</x:f>
        <x:v>45</x:v>
      </x:c>
      <x:c r="F659" s="102" t="n">
        <x:v>691527</x:v>
      </x:c>
      <x:c r="G659" s="126" t="n">
        <x:f>D659/F659*100000</x:f>
        <x:v>211.99461481619664</x:v>
      </x:c>
      <x:c r="H659" s="127" t="n">
        <x:f>1+COUNTIFS($C$4:$C$802,C659,$G$4:$G$802,"&gt;"&amp;G659)</x:f>
        <x:v>38</x:v>
      </x:c>
      <x:c r="I659" s="128" t="n">
        <x:f>D659/SUMIF($C$4:$C$802,C659,$D$4:$D$802)</x:f>
        <x:v>0.00391501271177388</x:v>
      </x:c>
      <x:c r="J659" s="103" t="n">
        <x:f>(D659/SUMIF($A$4:$A$802,A659,$D$4:$D$802))/(SUMIF($C$4:$C$802,C659,$D$4:$D$802)/SUM($D$4:$D$802))</x:f>
        <x:v>0.610514522976862</x:v>
      </x:c>
    </x:row>
    <x:row r="660">
      <x:c r="A660" s="101" t="str">
        <x:v>高知県</x:v>
      </x:c>
      <x:c r="B660" s="101" t="str">
        <x:v>L</x:v>
      </x:c>
      <x:c r="C660" s="101" t="str">
        <x:v>学術研究，専門・技術サービス業</x:v>
      </x:c>
      <x:c r="D660" s="102" t="n">
        <x:v>1175</x:v>
      </x:c>
      <x:c r="E660" s="102" t="n">
        <x:f>1+COUNTIFS($C$4:$C$802,C660,$D$4:$D$802,"&gt;"&amp;D660)</x:f>
        <x:v>46</x:v>
      </x:c>
      <x:c r="F660" s="102" t="n">
        <x:v>691527</x:v>
      </x:c>
      <x:c r="G660" s="126" t="n">
        <x:f>D660/F660*100000</x:f>
        <x:v>169.9138283826951</x:v>
      </x:c>
      <x:c r="H660" s="127" t="n">
        <x:f>1+COUNTIFS($C$4:$C$802,C660,$G$4:$G$802,"&gt;"&amp;G660)</x:f>
        <x:v>31</x:v>
      </x:c>
      <x:c r="I660" s="128" t="n">
        <x:f>D660/SUMIF($C$4:$C$802,C660,$D$4:$D$802)</x:f>
        <x:v>0.0046564159467385275</x:v>
      </x:c>
      <x:c r="J660" s="103" t="n">
        <x:f>(D660/SUMIF($A$4:$A$802,A660,$D$4:$D$802))/(SUMIF($C$4:$C$802,C660,$D$4:$D$802)/SUM($D$4:$D$802))</x:f>
        <x:v>0.7261303525159839</x:v>
      </x:c>
    </x:row>
    <x:row r="661">
      <x:c r="A661" s="101" t="str">
        <x:v>高知県</x:v>
      </x:c>
      <x:c r="B661" s="101" t="str">
        <x:v>M</x:v>
      </x:c>
      <x:c r="C661" s="101" t="str">
        <x:v>宿泊業，飲食サービス業</x:v>
      </x:c>
      <x:c r="D661" s="102" t="n">
        <x:v>4751</x:v>
      </x:c>
      <x:c r="E661" s="102" t="n">
        <x:f>1+COUNTIFS($C$4:$C$802,C661,$D$4:$D$802,"&gt;"&amp;D661)</x:f>
        <x:v>42</x:v>
      </x:c>
      <x:c r="F661" s="102" t="n">
        <x:v>691527</x:v>
      </x:c>
      <x:c r="G661" s="126" t="n">
        <x:f>D661/F661*100000</x:f>
        <x:v>687.030296720157</x:v>
      </x:c>
      <x:c r="H661" s="127" t="n">
        <x:f>1+COUNTIFS($C$4:$C$802,C661,$G$4:$G$802,"&gt;"&amp;G661)</x:f>
        <x:v>3</x:v>
      </x:c>
      <x:c r="I661" s="128" t="n">
        <x:f>D661/SUMIF($C$4:$C$802,C661,$D$4:$D$802)</x:f>
        <x:v>0.007930784665257788</x:v>
      </x:c>
      <x:c r="J661" s="103" t="n">
        <x:f>(D661/SUMIF($A$4:$A$802,A661,$D$4:$D$802))/(SUMIF($C$4:$C$802,C661,$D$4:$D$802)/SUM($D$4:$D$802))</x:f>
        <x:v>1.236741633604617</x:v>
      </x:c>
    </x:row>
    <x:row r="662">
      <x:c r="A662" s="101" t="str">
        <x:v>高知県</x:v>
      </x:c>
      <x:c r="B662" s="101" t="str">
        <x:v>N</x:v>
      </x:c>
      <x:c r="C662" s="101" t="str">
        <x:v>生活関連サービス業，娯楽業</x:v>
      </x:c>
      <x:c r="D662" s="102" t="n">
        <x:v>3208</x:v>
      </x:c>
      <x:c r="E662" s="102" t="n">
        <x:f>1+COUNTIFS($C$4:$C$802,C662,$D$4:$D$802,"&gt;"&amp;D662)</x:f>
        <x:v>43</x:v>
      </x:c>
      <x:c r="F662" s="102" t="n">
        <x:v>691527</x:v>
      </x:c>
      <x:c r="G662" s="126" t="n">
        <x:f>D662/F662*100000</x:f>
        <x:v>463.900903363137</x:v>
      </x:c>
      <x:c r="H662" s="127" t="n">
        <x:f>1+COUNTIFS($C$4:$C$802,C662,$G$4:$G$802,"&gt;"&amp;G662)</x:f>
        <x:v>4</x:v>
      </x:c>
      <x:c r="I662" s="128" t="n">
        <x:f>D662/SUMIF($C$4:$C$802,C662,$D$4:$D$802)</x:f>
        <x:v>0.007388147182577975</x:v>
      </x:c>
      <x:c r="J662" s="103" t="n">
        <x:f>(D662/SUMIF($A$4:$A$802,A662,$D$4:$D$802))/(SUMIF($C$4:$C$802,C662,$D$4:$D$802)/SUM($D$4:$D$802))</x:f>
        <x:v>1.1521217132423345</x:v>
      </x:c>
    </x:row>
    <x:row r="663">
      <x:c r="A663" s="101" t="str">
        <x:v>高知県</x:v>
      </x:c>
      <x:c r="B663" s="101" t="str">
        <x:v>O</x:v>
      </x:c>
      <x:c r="C663" s="101" t="str">
        <x:v>教育，学習支援業</x:v>
      </x:c>
      <x:c r="D663" s="102" t="n">
        <x:v>871</x:v>
      </x:c>
      <x:c r="E663" s="102" t="n">
        <x:f>1+COUNTIFS($C$4:$C$802,C663,$D$4:$D$802,"&gt;"&amp;D663)</x:f>
        <x:v>45</x:v>
      </x:c>
      <x:c r="F663" s="102" t="n">
        <x:v>691527</x:v>
      </x:c>
      <x:c r="G663" s="126" t="n">
        <x:f>D663/F663*100000</x:f>
        <x:v>125.95314427347017</x:v>
      </x:c>
      <x:c r="H663" s="127" t="n">
        <x:f>1+COUNTIFS($C$4:$C$802,C663,$G$4:$G$802,"&gt;"&amp;G663)</x:f>
        <x:v>28</x:v>
      </x:c>
      <x:c r="I663" s="128" t="n">
        <x:f>D663/SUMIF($C$4:$C$802,C663,$D$4:$D$802)</x:f>
        <x:v>0.005331880482623947</x:v>
      </x:c>
      <x:c r="J663" s="103" t="n">
        <x:f>(D663/SUMIF($A$4:$A$802,A663,$D$4:$D$802))/(SUMIF($C$4:$C$802,C663,$D$4:$D$802)/SUM($D$4:$D$802))</x:f>
        <x:v>0.8314635760004679</x:v>
      </x:c>
    </x:row>
    <x:row r="664">
      <x:c r="A664" s="101" t="str">
        <x:v>高知県</x:v>
      </x:c>
      <x:c r="B664" s="101" t="str">
        <x:v>P</x:v>
      </x:c>
      <x:c r="C664" s="101" t="str">
        <x:v>医療，福祉</x:v>
      </x:c>
      <x:c r="D664" s="102" t="n">
        <x:v>2905</x:v>
      </x:c>
      <x:c r="E664" s="102" t="n">
        <x:f>1+COUNTIFS($C$4:$C$802,C664,$D$4:$D$802,"&gt;"&amp;D664)</x:f>
        <x:v>45</x:v>
      </x:c>
      <x:c r="F664" s="102" t="n">
        <x:v>691527</x:v>
      </x:c>
      <x:c r="G664" s="126" t="n">
        <x:f>D664/F664*100000</x:f>
        <x:v>420.08482676742915</x:v>
      </x:c>
      <x:c r="H664" s="127" t="n">
        <x:f>1+COUNTIFS($C$4:$C$802,C664,$G$4:$G$802,"&gt;"&amp;G664)</x:f>
        <x:v>9</x:v>
      </x:c>
      <x:c r="I664" s="128" t="n">
        <x:f>D664/SUMIF($C$4:$C$802,C664,$D$4:$D$802)</x:f>
        <x:v>0.006280660107106335</x:v>
      </x:c>
      <x:c r="J664" s="103" t="n">
        <x:f>(D664/SUMIF($A$4:$A$802,A664,$D$4:$D$802))/(SUMIF($C$4:$C$802,C664,$D$4:$D$802)/SUM($D$4:$D$802))</x:f>
        <x:v>0.9794180738515306</x:v>
      </x:c>
    </x:row>
    <x:row r="665">
      <x:c r="A665" s="101" t="str">
        <x:v>高知県</x:v>
      </x:c>
      <x:c r="B665" s="101" t="str">
        <x:v>Q</x:v>
      </x:c>
      <x:c r="C665" s="101" t="str">
        <x:v>複合サービス事業</x:v>
      </x:c>
      <x:c r="D665" s="102" t="n">
        <x:v>414</x:v>
      </x:c>
      <x:c r="E665" s="102" t="n">
        <x:f>1+COUNTIFS($C$4:$C$802,C665,$D$4:$D$802,"&gt;"&amp;D665)</x:f>
        <x:v>36</x:v>
      </x:c>
      <x:c r="F665" s="102" t="n">
        <x:v>691527</x:v>
      </x:c>
      <x:c r="G665" s="126" t="n">
        <x:f>D665/F665*100000</x:f>
        <x:v>59.86751059611556</x:v>
      </x:c>
      <x:c r="H665" s="127" t="n">
        <x:f>1+COUNTIFS($C$4:$C$802,C665,$G$4:$G$802,"&gt;"&amp;G665)</x:f>
        <x:v>2</x:v>
      </x:c>
      <x:c r="I665" s="128" t="n">
        <x:f>D665/SUMIF($C$4:$C$802,C665,$D$4:$D$802)</x:f>
        <x:v>0.012884753042233358</x:v>
      </x:c>
      <x:c r="J665" s="103" t="n">
        <x:f>(D665/SUMIF($A$4:$A$802,A665,$D$4:$D$802))/(SUMIF($C$4:$C$802,C665,$D$4:$D$802)/SUM($D$4:$D$802))</x:f>
        <x:v>2.00927287760697</x:v>
      </x:c>
    </x:row>
    <x:row r="666">
      <x:c r="A666" s="101" t="str">
        <x:v>高知県</x:v>
      </x:c>
      <x:c r="B666" s="101" t="str">
        <x:v>R</x:v>
      </x:c>
      <x:c r="C666" s="101" t="str">
        <x:v>サービス業（他に分類されないもの）</x:v>
      </x:c>
      <x:c r="D666" s="102" t="n">
        <x:v>2360</x:v>
      </x:c>
      <x:c r="E666" s="102" t="n">
        <x:f>1+COUNTIFS($C$4:$C$802,C666,$D$4:$D$802,"&gt;"&amp;D666)</x:f>
        <x:v>46</x:v>
      </x:c>
      <x:c r="F666" s="102" t="n">
        <x:v>691527</x:v>
      </x:c>
      <x:c r="G666" s="126" t="n">
        <x:f>D666/F666*100000</x:f>
        <x:v>341.2737319005621</x:v>
      </x:c>
      <x:c r="H666" s="127" t="n">
        <x:f>1+COUNTIFS($C$4:$C$802,C666,$G$4:$G$802,"&gt;"&amp;G666)</x:f>
        <x:v>20</x:v>
      </x:c>
      <x:c r="I666" s="128" t="n">
        <x:f>D666/SUMIF($C$4:$C$802,C666,$D$4:$D$802)</x:f>
        <x:v>0.006391991592905973</x:v>
      </x:c>
      <x:c r="J666" s="103" t="n">
        <x:f>(D666/SUMIF($A$4:$A$802,A666,$D$4:$D$802))/(SUMIF($C$4:$C$802,C666,$D$4:$D$802)/SUM($D$4:$D$802))</x:f>
        <x:v>0.9967793173389049</x:v>
      </x:c>
    </x:row>
    <x:row r="667">
      <x:c r="A667" s="101" t="str">
        <x:v>福岡県</x:v>
      </x:c>
      <x:c r="B667" s="101" t="str">
        <x:v>AB</x:v>
      </x:c>
      <x:c r="C667" s="101" t="str">
        <x:v>農林漁業</x:v>
      </x:c>
      <x:c r="D667" s="102" t="n">
        <x:v>1045</x:v>
      </x:c>
      <x:c r="E667" s="102" t="n">
        <x:f>1+COUNTIFS($C$4:$C$802,C667,$D$4:$D$802,"&gt;"&amp;D667)</x:f>
        <x:v>10</x:v>
      </x:c>
      <x:c r="F667" s="102" t="n">
        <x:v>5135214</x:v>
      </x:c>
      <x:c r="G667" s="126" t="n">
        <x:f>D667/F667*100000</x:f>
        <x:v>20.349687471641882</x:v>
      </x:c>
      <x:c r="H667" s="127" t="n">
        <x:f>1+COUNTIFS($C$4:$C$802,C667,$G$4:$G$802,"&gt;"&amp;G667)</x:f>
        <x:v>38</x:v>
      </x:c>
      <x:c r="I667" s="128" t="n">
        <x:f>D667/SUMIF($C$4:$C$802,C667,$D$4:$D$802)</x:f>
        <x:v>0.02461255829290122</x:v>
      </x:c>
      <x:c r="J667" s="103" t="n">
        <x:f>(D667/SUMIF($A$4:$A$802,A667,$D$4:$D$802))/(SUMIF($C$4:$C$802,C667,$D$4:$D$802)/SUM($D$4:$D$802))</x:f>
        <x:v>0.6027829817573322</x:v>
      </x:c>
    </x:row>
    <x:row r="668">
      <x:c r="A668" s="101" t="str">
        <x:v>福岡県</x:v>
      </x:c>
      <x:c r="B668" s="101" t="str">
        <x:v>C</x:v>
      </x:c>
      <x:c r="C668" s="101" t="str">
        <x:v>鉱業，採石業，砂利採取業</x:v>
      </x:c>
      <x:c r="D668" s="102" t="n">
        <x:v>44</x:v>
      </x:c>
      <x:c r="E668" s="102" t="n">
        <x:f>1+COUNTIFS($C$4:$C$802,C668,$D$4:$D$802,"&gt;"&amp;D668)</x:f>
        <x:v>16</x:v>
      </x:c>
      <x:c r="F668" s="102" t="n">
        <x:v>5135214</x:v>
      </x:c>
      <x:c r="G668" s="126" t="n">
        <x:f>D668/F668*100000</x:f>
        <x:v>0.856828946174395</x:v>
      </x:c>
      <x:c r="H668" s="127" t="n">
        <x:f>1+COUNTIFS($C$4:$C$802,C668,$G$4:$G$802,"&gt;"&amp;G668)</x:f>
        <x:v>39</x:v>
      </x:c>
      <x:c r="I668" s="128" t="n">
        <x:f>D668/SUMIF($C$4:$C$802,C668,$D$4:$D$802)</x:f>
        <x:v>0.02359249329758713</x:v>
      </x:c>
      <x:c r="J668" s="103" t="n">
        <x:f>(D668/SUMIF($A$4:$A$802,A668,$D$4:$D$802))/(SUMIF($C$4:$C$802,C668,$D$4:$D$802)/SUM($D$4:$D$802))</x:f>
        <x:v>0.5778007018925426</x:v>
      </x:c>
    </x:row>
    <x:row r="669">
      <x:c r="A669" s="101" t="str">
        <x:v>福岡県</x:v>
      </x:c>
      <x:c r="B669" s="101" t="str">
        <x:v>D</x:v>
      </x:c>
      <x:c r="C669" s="101" t="str">
        <x:v>建設業</x:v>
      </x:c>
      <x:c r="D669" s="102" t="n">
        <x:v>19769</x:v>
      </x:c>
      <x:c r="E669" s="102" t="n">
        <x:f>1+COUNTIFS($C$4:$C$802,C669,$D$4:$D$802,"&gt;"&amp;D669)</x:f>
        <x:v>8</x:v>
      </x:c>
      <x:c r="F669" s="102" t="n">
        <x:v>5135214</x:v>
      </x:c>
      <x:c r="G669" s="126" t="n">
        <x:f>D669/F669*100000</x:f>
        <x:v>384.9693508391276</x:v>
      </x:c>
      <x:c r="H669" s="127" t="n">
        <x:f>1+COUNTIFS($C$4:$C$802,C669,$G$4:$G$802,"&gt;"&amp;G669)</x:f>
        <x:v>37</x:v>
      </x:c>
      <x:c r="I669" s="128" t="n">
        <x:f>D669/SUMIF($C$4:$C$802,C669,$D$4:$D$802)</x:f>
        <x:v>0.04074948210291981</x:v>
      </x:c>
      <x:c r="J669" s="103" t="n">
        <x:f>(D669/SUMIF($A$4:$A$802,A669,$D$4:$D$802))/(SUMIF($C$4:$C$802,C669,$D$4:$D$802)/SUM($D$4:$D$802))</x:f>
        <x:v>0.9979902956349547</x:v>
      </x:c>
    </x:row>
    <x:row r="670">
      <x:c r="A670" s="101" t="str">
        <x:v>福岡県</x:v>
      </x:c>
      <x:c r="B670" s="101" t="str">
        <x:v>E</x:v>
      </x:c>
      <x:c r="C670" s="101" t="str">
        <x:v>製造業</x:v>
      </x:c>
      <x:c r="D670" s="102" t="n">
        <x:v>11417</x:v>
      </x:c>
      <x:c r="E670" s="102" t="n">
        <x:f>1+COUNTIFS($C$4:$C$802,C670,$D$4:$D$802,"&gt;"&amp;D670)</x:f>
        <x:v>10</x:v>
      </x:c>
      <x:c r="F670" s="102" t="n">
        <x:v>5135214</x:v>
      </x:c>
      <x:c r="G670" s="126" t="n">
        <x:f>D670/F670*100000</x:f>
        <x:v>222.3276381471152</x:v>
      </x:c>
      <x:c r="H670" s="127" t="n">
        <x:f>1+COUNTIFS($C$4:$C$802,C670,$G$4:$G$802,"&gt;"&amp;G670)</x:f>
        <x:v>41</x:v>
      </x:c>
      <x:c r="I670" s="128" t="n">
        <x:f>D670/SUMIF($C$4:$C$802,C670,$D$4:$D$802)</x:f>
        <x:v>0.027669727616651763</x:v>
      </x:c>
      <x:c r="J670" s="103" t="n">
        <x:f>(D670/SUMIF($A$4:$A$802,A670,$D$4:$D$802))/(SUMIF($C$4:$C$802,C670,$D$4:$D$802)/SUM($D$4:$D$802))</x:f>
        <x:v>0.6776557202503032</x:v>
      </x:c>
    </x:row>
    <x:row r="671">
      <x:c r="A671" s="101" t="str">
        <x:v>福岡県</x:v>
      </x:c>
      <x:c r="B671" s="101" t="str">
        <x:v>F</x:v>
      </x:c>
      <x:c r="C671" s="101" t="str">
        <x:v>電気・ガス・熱供給・水道業</x:v>
      </x:c>
      <x:c r="D671" s="102" t="n">
        <x:v>378</x:v>
      </x:c>
      <x:c r="E671" s="102" t="n">
        <x:f>1+COUNTIFS($C$4:$C$802,C671,$D$4:$D$802,"&gt;"&amp;D671)</x:f>
        <x:v>4</x:v>
      </x:c>
      <x:c r="F671" s="102" t="n">
        <x:v>5135214</x:v>
      </x:c>
      <x:c r="G671" s="126" t="n">
        <x:f>D671/F671*100000</x:f>
        <x:v>7.360939583043667</x:v>
      </x:c>
      <x:c r="H671" s="127" t="n">
        <x:f>1+COUNTIFS($C$4:$C$802,C671,$G$4:$G$802,"&gt;"&amp;G671)</x:f>
        <x:v>32</x:v>
      </x:c>
      <x:c r="I671" s="128" t="n">
        <x:f>D671/SUMIF($C$4:$C$802,C671,$D$4:$D$802)</x:f>
        <x:v>0.0413611992559361</x:v>
      </x:c>
      <x:c r="J671" s="103" t="n">
        <x:f>(D671/SUMIF($A$4:$A$802,A671,$D$4:$D$802))/(SUMIF($C$4:$C$802,C671,$D$4:$D$802)/SUM($D$4:$D$802))</x:f>
        <x:v>1.0129717813098356</x:v>
      </x:c>
    </x:row>
    <x:row r="672">
      <x:c r="A672" s="101" t="str">
        <x:v>福岡県</x:v>
      </x:c>
      <x:c r="B672" s="101" t="str">
        <x:v>G</x:v>
      </x:c>
      <x:c r="C672" s="101" t="str">
        <x:v>情報通信業</x:v>
      </x:c>
      <x:c r="D672" s="102" t="n">
        <x:v>3180</x:v>
      </x:c>
      <x:c r="E672" s="102" t="n">
        <x:f>1+COUNTIFS($C$4:$C$802,C672,$D$4:$D$802,"&gt;"&amp;D672)</x:f>
        <x:v>5</x:v>
      </x:c>
      <x:c r="F672" s="102" t="n">
        <x:v>5135214</x:v>
      </x:c>
      <x:c r="G672" s="126" t="n">
        <x:f>D672/F672*100000</x:f>
        <x:v>61.925364746240376</x:v>
      </x:c>
      <x:c r="H672" s="127" t="n">
        <x:f>1+COUNTIFS($C$4:$C$802,C672,$G$4:$G$802,"&gt;"&amp;G672)</x:f>
        <x:v>3</x:v>
      </x:c>
      <x:c r="I672" s="128" t="n">
        <x:f>D672/SUMIF($C$4:$C$802,C672,$D$4:$D$802)</x:f>
        <x:v>0.041536592693216995</x:v>
      </x:c>
      <x:c r="J672" s="103" t="n">
        <x:f>(D672/SUMIF($A$4:$A$802,A672,$D$4:$D$802))/(SUMIF($C$4:$C$802,C672,$D$4:$D$802)/SUM($D$4:$D$802))</x:f>
        <x:v>1.0172673192968533</x:v>
      </x:c>
    </x:row>
    <x:row r="673">
      <x:c r="A673" s="101" t="str">
        <x:v>福岡県</x:v>
      </x:c>
      <x:c r="B673" s="101" t="str">
        <x:v>H</x:v>
      </x:c>
      <x:c r="C673" s="101" t="str">
        <x:v>運輸業，郵便業</x:v>
      </x:c>
      <x:c r="D673" s="102" t="n">
        <x:v>5365</x:v>
      </x:c>
      <x:c r="E673" s="102" t="n">
        <x:f>1+COUNTIFS($C$4:$C$802,C673,$D$4:$D$802,"&gt;"&amp;D673)</x:f>
        <x:v>8</x:v>
      </x:c>
      <x:c r="F673" s="102" t="n">
        <x:v>5135214</x:v>
      </x:c>
      <x:c r="G673" s="126" t="n">
        <x:f>D673/F673*100000</x:f>
        <x:v>104.4747112778552</x:v>
      </x:c>
      <x:c r="H673" s="127" t="n">
        <x:f>1+COUNTIFS($C$4:$C$802,C673,$G$4:$G$802,"&gt;"&amp;G673)</x:f>
        <x:v>21</x:v>
      </x:c>
      <x:c r="I673" s="128" t="n">
        <x:f>D673/SUMIF($C$4:$C$802,C673,$D$4:$D$802)</x:f>
        <x:v>0.04184084102820065</x:v>
      </x:c>
      <x:c r="J673" s="103" t="n">
        <x:f>(D673/SUMIF($A$4:$A$802,A673,$D$4:$D$802))/(SUMIF($C$4:$C$802,C673,$D$4:$D$802)/SUM($D$4:$D$802))</x:f>
        <x:v>1.0247186259173862</x:v>
      </x:c>
    </x:row>
    <x:row r="674">
      <x:c r="A674" s="101" t="str">
        <x:v>福岡県</x:v>
      </x:c>
      <x:c r="B674" s="101" t="str">
        <x:v>I</x:v>
      </x:c>
      <x:c r="C674" s="101" t="str">
        <x:v>卸売業，小売業</x:v>
      </x:c>
      <x:c r="D674" s="102" t="n">
        <x:v>54567</x:v>
      </x:c>
      <x:c r="E674" s="102" t="n">
        <x:f>1+COUNTIFS($C$4:$C$802,C674,$D$4:$D$802,"&gt;"&amp;D674)</x:f>
        <x:v>5</x:v>
      </x:c>
      <x:c r="F674" s="102" t="n">
        <x:v>5135214</x:v>
      </x:c>
      <x:c r="G674" s="126" t="n">
        <x:f>D674/F674*100000</x:f>
        <x:v>1062.6042069522323</x:v>
      </x:c>
      <x:c r="H674" s="127" t="n">
        <x:f>1+COUNTIFS($C$4:$C$802,C674,$G$4:$G$802,"&gt;"&amp;G674)</x:f>
        <x:v>30</x:v>
      </x:c>
      <x:c r="I674" s="128" t="n">
        <x:f>D674/SUMIF($C$4:$C$802,C674,$D$4:$D$802)</x:f>
        <x:v>0.04440240210916903</x:v>
      </x:c>
      <x:c r="J674" s="103" t="n">
        <x:f>(D674/SUMIF($A$4:$A$802,A674,$D$4:$D$802))/(SUMIF($C$4:$C$802,C674,$D$4:$D$802)/SUM($D$4:$D$802))</x:f>
        <x:v>1.0874534870384667</x:v>
      </x:c>
    </x:row>
    <x:row r="675">
      <x:c r="A675" s="101" t="str">
        <x:v>福岡県</x:v>
      </x:c>
      <x:c r="B675" s="101" t="str">
        <x:v>J</x:v>
      </x:c>
      <x:c r="C675" s="101" t="str">
        <x:v>金融業，保険業</x:v>
      </x:c>
      <x:c r="D675" s="102" t="n">
        <x:v>3550</x:v>
      </x:c>
      <x:c r="E675" s="102" t="n">
        <x:f>1+COUNTIFS($C$4:$C$802,C675,$D$4:$D$802,"&gt;"&amp;D675)</x:f>
        <x:v>6</x:v>
      </x:c>
      <x:c r="F675" s="102" t="n">
        <x:v>5135214</x:v>
      </x:c>
      <x:c r="G675" s="126" t="n">
        <x:f>D675/F675*100000</x:f>
        <x:v>69.13051724816142</x:v>
      </x:c>
      <x:c r="H675" s="127" t="n">
        <x:f>1+COUNTIFS($C$4:$C$802,C675,$G$4:$G$802,"&gt;"&amp;G675)</x:f>
        <x:v>33</x:v>
      </x:c>
      <x:c r="I675" s="128" t="n">
        <x:f>D675/SUMIF($C$4:$C$802,C675,$D$4:$D$802)</x:f>
        <x:v>0.04233649763869675</x:v>
      </x:c>
      <x:c r="J675" s="103" t="n">
        <x:f>(D675/SUMIF($A$4:$A$802,A675,$D$4:$D$802))/(SUMIF($C$4:$C$802,C675,$D$4:$D$802)/SUM($D$4:$D$802))</x:f>
        <x:v>1.036857687856703</x:v>
      </x:c>
    </x:row>
    <x:row r="676">
      <x:c r="A676" s="101" t="str">
        <x:v>福岡県</x:v>
      </x:c>
      <x:c r="B676" s="101" t="str">
        <x:v>K</x:v>
      </x:c>
      <x:c r="C676" s="101" t="str">
        <x:v>不動産業，物品賃貸業</x:v>
      </x:c>
      <x:c r="D676" s="102" t="n">
        <x:v>14360</x:v>
      </x:c>
      <x:c r="E676" s="102" t="n">
        <x:f>1+COUNTIFS($C$4:$C$802,C676,$D$4:$D$802,"&gt;"&amp;D676)</x:f>
        <x:v>8</x:v>
      </x:c>
      <x:c r="F676" s="102" t="n">
        <x:v>5135214</x:v>
      </x:c>
      <x:c r="G676" s="126" t="n">
        <x:f>D676/F676*100000</x:f>
        <x:v>279.63781061509803</x:v>
      </x:c>
      <x:c r="H676" s="127" t="n">
        <x:f>1+COUNTIFS($C$4:$C$802,C676,$G$4:$G$802,"&gt;"&amp;G676)</x:f>
        <x:v>17</x:v>
      </x:c>
      <x:c r="I676" s="128" t="n">
        <x:f>D676/SUMIF($C$4:$C$802,C676,$D$4:$D$802)</x:f>
        <x:v>0.03834896489841263</x:v>
      </x:c>
      <x:c r="J676" s="103" t="n">
        <x:f>(D676/SUMIF($A$4:$A$802,A676,$D$4:$D$802))/(SUMIF($C$4:$C$802,C676,$D$4:$D$802)/SUM($D$4:$D$802))</x:f>
        <x:v>0.9391995392628326</x:v>
      </x:c>
    </x:row>
    <x:row r="677">
      <x:c r="A677" s="101" t="str">
        <x:v>福岡県</x:v>
      </x:c>
      <x:c r="B677" s="101" t="str">
        <x:v>L</x:v>
      </x:c>
      <x:c r="C677" s="101" t="str">
        <x:v>学術研究，専門・技術サービス業</x:v>
      </x:c>
      <x:c r="D677" s="102" t="n">
        <x:v>10690</x:v>
      </x:c>
      <x:c r="E677" s="102" t="n">
        <x:f>1+COUNTIFS($C$4:$C$802,C677,$D$4:$D$802,"&gt;"&amp;D677)</x:f>
        <x:v>5</x:v>
      </x:c>
      <x:c r="F677" s="102" t="n">
        <x:v>5135214</x:v>
      </x:c>
      <x:c r="G677" s="126" t="n">
        <x:f>D677/F677*100000</x:f>
        <x:v>208.17048715009736</x:v>
      </x:c>
      <x:c r="H677" s="127" t="n">
        <x:f>1+COUNTIFS($C$4:$C$802,C677,$G$4:$G$802,"&gt;"&amp;G677)</x:f>
        <x:v>6</x:v>
      </x:c>
      <x:c r="I677" s="128" t="n">
        <x:f>D677/SUMIF($C$4:$C$802,C677,$D$4:$D$802)</x:f>
        <x:v>0.04236347784734881</x:v>
      </x:c>
      <x:c r="J677" s="103" t="n">
        <x:f>(D677/SUMIF($A$4:$A$802,A677,$D$4:$D$802))/(SUMIF($C$4:$C$802,C677,$D$4:$D$802)/SUM($D$4:$D$802))</x:f>
        <x:v>1.0375184566571742</x:v>
      </x:c>
    </x:row>
    <x:row r="678">
      <x:c r="A678" s="101" t="str">
        <x:v>福岡県</x:v>
      </x:c>
      <x:c r="B678" s="101" t="str">
        <x:v>M</x:v>
      </x:c>
      <x:c r="C678" s="101" t="str">
        <x:v>宿泊業，飲食サービス業</x:v>
      </x:c>
      <x:c r="D678" s="102" t="n">
        <x:v>24756</x:v>
      </x:c>
      <x:c r="E678" s="102" t="n">
        <x:f>1+COUNTIFS($C$4:$C$802,C678,$D$4:$D$802,"&gt;"&amp;D678)</x:f>
        <x:v>7</x:v>
      </x:c>
      <x:c r="F678" s="102" t="n">
        <x:v>5135214</x:v>
      </x:c>
      <x:c r="G678" s="126" t="n">
        <x:f>D678/F678*100000</x:f>
        <x:v>482.08312253393916</x:v>
      </x:c>
      <x:c r="H678" s="127" t="n">
        <x:f>1+COUNTIFS($C$4:$C$802,C678,$G$4:$G$802,"&gt;"&amp;G678)</x:f>
        <x:v>30</x:v>
      </x:c>
      <x:c r="I678" s="128" t="n">
        <x:f>D678/SUMIF($C$4:$C$802,C678,$D$4:$D$802)</x:f>
        <x:v>0.041324880061696864</x:v>
      </x:c>
      <x:c r="J678" s="103" t="n">
        <x:f>(D678/SUMIF($A$4:$A$802,A678,$D$4:$D$802))/(SUMIF($C$4:$C$802,C678,$D$4:$D$802)/SUM($D$4:$D$802))</x:f>
        <x:v>1.0120822926212554</x:v>
      </x:c>
    </x:row>
    <x:row r="679">
      <x:c r="A679" s="101" t="str">
        <x:v>福岡県</x:v>
      </x:c>
      <x:c r="B679" s="101" t="str">
        <x:v>N</x:v>
      </x:c>
      <x:c r="C679" s="101" t="str">
        <x:v>生活関連サービス業，娯楽業</x:v>
      </x:c>
      <x:c r="D679" s="102" t="n">
        <x:v>17527</x:v>
      </x:c>
      <x:c r="E679" s="102" t="n">
        <x:f>1+COUNTIFS($C$4:$C$802,C679,$D$4:$D$802,"&gt;"&amp;D679)</x:f>
        <x:v>8</x:v>
      </x:c>
      <x:c r="F679" s="102" t="n">
        <x:v>5135214</x:v>
      </x:c>
      <x:c r="G679" s="126" t="n">
        <x:f>D679/F679*100000</x:f>
        <x:v>341.3100213545141</x:v>
      </x:c>
      <x:c r="H679" s="127" t="n">
        <x:f>1+COUNTIFS($C$4:$C$802,C679,$G$4:$G$802,"&gt;"&amp;G679)</x:f>
        <x:v>37</x:v>
      </x:c>
      <x:c r="I679" s="128" t="n">
        <x:f>D679/SUMIF($C$4:$C$802,C679,$D$4:$D$802)</x:f>
        <x:v>0.040365354011547436</x:v>
      </x:c>
      <x:c r="J679" s="103" t="n">
        <x:f>(D679/SUMIF($A$4:$A$802,A679,$D$4:$D$802))/(SUMIF($C$4:$C$802,C679,$D$4:$D$802)/SUM($D$4:$D$802))</x:f>
        <x:v>0.9885826642323722</x:v>
      </x:c>
    </x:row>
    <x:row r="680">
      <x:c r="A680" s="101" t="str">
        <x:v>福岡県</x:v>
      </x:c>
      <x:c r="B680" s="101" t="str">
        <x:v>O</x:v>
      </x:c>
      <x:c r="C680" s="101" t="str">
        <x:v>教育，学習支援業</x:v>
      </x:c>
      <x:c r="D680" s="102" t="n">
        <x:v>6189</x:v>
      </x:c>
      <x:c r="E680" s="102" t="n">
        <x:f>1+COUNTIFS($C$4:$C$802,C680,$D$4:$D$802,"&gt;"&amp;D680)</x:f>
        <x:v>8</x:v>
      </x:c>
      <x:c r="F680" s="102" t="n">
        <x:v>5135214</x:v>
      </x:c>
      <x:c r="G680" s="126" t="n">
        <x:f>D680/F680*100000</x:f>
        <x:v>120.52078063348479</x:v>
      </x:c>
      <x:c r="H680" s="127" t="n">
        <x:f>1+COUNTIFS($C$4:$C$802,C680,$G$4:$G$802,"&gt;"&amp;G680)</x:f>
        <x:v>35</x:v>
      </x:c>
      <x:c r="I680" s="128" t="n">
        <x:f>D680/SUMIF($C$4:$C$802,C680,$D$4:$D$802)</x:f>
        <x:v>0.037886347080321015</x:v>
      </x:c>
      <x:c r="J680" s="103" t="n">
        <x:f>(D680/SUMIF($A$4:$A$802,A680,$D$4:$D$802))/(SUMIF($C$4:$C$802,C680,$D$4:$D$802)/SUM($D$4:$D$802))</x:f>
        <x:v>0.9278696261150488</x:v>
      </x:c>
    </x:row>
    <x:row r="681">
      <x:c r="A681" s="101" t="str">
        <x:v>福岡県</x:v>
      </x:c>
      <x:c r="B681" s="101" t="str">
        <x:v>P</x:v>
      </x:c>
      <x:c r="C681" s="101" t="str">
        <x:v>医療，福祉</x:v>
      </x:c>
      <x:c r="D681" s="102" t="n">
        <x:v>21144</x:v>
      </x:c>
      <x:c r="E681" s="102" t="n">
        <x:f>1+COUNTIFS($C$4:$C$802,C681,$D$4:$D$802,"&gt;"&amp;D681)</x:f>
        <x:v>6</x:v>
      </x:c>
      <x:c r="F681" s="102" t="n">
        <x:v>5135214</x:v>
      </x:c>
      <x:c r="G681" s="126" t="n">
        <x:f>D681/F681*100000</x:f>
        <x:v>411.74525540707754</x:v>
      </x:c>
      <x:c r="H681" s="127" t="n">
        <x:f>1+COUNTIFS($C$4:$C$802,C681,$G$4:$G$802,"&gt;"&amp;G681)</x:f>
        <x:v>12</x:v>
      </x:c>
      <x:c r="I681" s="128" t="n">
        <x:f>D681/SUMIF($C$4:$C$802,C681,$D$4:$D$802)</x:f>
        <x:v>0.04571369270384039</x:v>
      </x:c>
      <x:c r="J681" s="103" t="n">
        <x:f>(D681/SUMIF($A$4:$A$802,A681,$D$4:$D$802))/(SUMIF($C$4:$C$802,C681,$D$4:$D$802)/SUM($D$4:$D$802))</x:f>
        <x:v>1.1195681353899274</x:v>
      </x:c>
    </x:row>
    <x:row r="682">
      <x:c r="A682" s="101" t="str">
        <x:v>福岡県</x:v>
      </x:c>
      <x:c r="B682" s="101" t="str">
        <x:v>Q</x:v>
      </x:c>
      <x:c r="C682" s="101" t="str">
        <x:v>複合サービス事業</x:v>
      </x:c>
      <x:c r="D682" s="102" t="n">
        <x:v>1073</x:v>
      </x:c>
      <x:c r="E682" s="102" t="n">
        <x:f>1+COUNTIFS($C$4:$C$802,C682,$D$4:$D$802,"&gt;"&amp;D682)</x:f>
        <x:v>6</x:v>
      </x:c>
      <x:c r="F682" s="102" t="n">
        <x:v>5135214</x:v>
      </x:c>
      <x:c r="G682" s="126" t="n">
        <x:f>D682/F682*100000</x:f>
        <x:v>20.894942255571046</x:v>
      </x:c>
      <x:c r="H682" s="127" t="n">
        <x:f>1+COUNTIFS($C$4:$C$802,C682,$G$4:$G$802,"&gt;"&amp;G682)</x:f>
        <x:v>41</x:v>
      </x:c>
      <x:c r="I682" s="128" t="n">
        <x:f>D682/SUMIF($C$4:$C$802,C682,$D$4:$D$802)</x:f>
        <x:v>0.03339454109738259</x:v>
      </x:c>
      <x:c r="J682" s="103" t="n">
        <x:f>(D682/SUMIF($A$4:$A$802,A682,$D$4:$D$802))/(SUMIF($C$4:$C$802,C682,$D$4:$D$802)/SUM($D$4:$D$802))</x:f>
        <x:v>0.8178613867581521</x:v>
      </x:c>
    </x:row>
    <x:row r="683">
      <x:c r="A683" s="101" t="str">
        <x:v>福岡県</x:v>
      </x:c>
      <x:c r="B683" s="101" t="str">
        <x:v>R</x:v>
      </x:c>
      <x:c r="C683" s="101" t="str">
        <x:v>サービス業（他に分類されないもの）</x:v>
      </x:c>
      <x:c r="D683" s="102" t="n">
        <x:v>15476</x:v>
      </x:c>
      <x:c r="E683" s="102" t="n">
        <x:f>1+COUNTIFS($C$4:$C$802,C683,$D$4:$D$802,"&gt;"&amp;D683)</x:f>
        <x:v>6</x:v>
      </x:c>
      <x:c r="F683" s="102" t="n">
        <x:v>5135214</x:v>
      </x:c>
      <x:c r="G683" s="126" t="n">
        <x:f>D683/F683*100000</x:f>
        <x:v>301.37010843170316</x:v>
      </x:c>
      <x:c r="H683" s="127" t="n">
        <x:f>1+COUNTIFS($C$4:$C$802,C683,$G$4:$G$802,"&gt;"&amp;G683)</x:f>
        <x:v>33</x:v>
      </x:c>
      <x:c r="I683" s="128" t="n">
        <x:f>D683/SUMIF($C$4:$C$802,C683,$D$4:$D$802)</x:f>
        <x:v>0.0419162974117851</x:v>
      </x:c>
      <x:c r="J683" s="103" t="n">
        <x:f>(D683/SUMIF($A$4:$A$802,A683,$D$4:$D$802))/(SUMIF($C$4:$C$802,C683,$D$4:$D$802)/SUM($D$4:$D$802))</x:f>
        <x:v>1.0265666184482065</x:v>
      </x:c>
    </x:row>
    <x:row r="684">
      <x:c r="A684" s="101" t="str">
        <x:v>佐賀県</x:v>
      </x:c>
      <x:c r="B684" s="101" t="str">
        <x:v>AB</x:v>
      </x:c>
      <x:c r="C684" s="101" t="str">
        <x:v>農林漁業</x:v>
      </x:c>
      <x:c r="D684" s="102" t="n">
        <x:v>465</x:v>
      </x:c>
      <x:c r="E684" s="102" t="n">
        <x:f>1+COUNTIFS($C$4:$C$802,C684,$D$4:$D$802,"&gt;"&amp;D684)</x:f>
        <x:v>41</x:v>
      </x:c>
      <x:c r="F684" s="102" t="n">
        <x:v>811442</x:v>
      </x:c>
      <x:c r="G684" s="126" t="n">
        <x:f>D684/F684*100000</x:f>
        <x:v>57.30538966432598</x:v>
      </x:c>
      <x:c r="H684" s="127" t="n">
        <x:f>1+COUNTIFS($C$4:$C$802,C684,$G$4:$G$802,"&gt;"&amp;G684)</x:f>
        <x:v>20</x:v>
      </x:c>
      <x:c r="I684" s="128" t="n">
        <x:f>D684/SUMIF($C$4:$C$802,C684,$D$4:$D$802)</x:f>
        <x:v>0.010951999623157002</x:v>
      </x:c>
      <x:c r="J684" s="103" t="n">
        <x:f>(D684/SUMIF($A$4:$A$802,A684,$D$4:$D$802))/(SUMIF($C$4:$C$802,C684,$D$4:$D$802)/SUM($D$4:$D$802))</x:f>
        <x:v>1.5766913313688056</x:v>
      </x:c>
    </x:row>
    <x:row r="685">
      <x:c r="A685" s="101" t="str">
        <x:v>佐賀県</x:v>
      </x:c>
      <x:c r="B685" s="101" t="str">
        <x:v>C</x:v>
      </x:c>
      <x:c r="C685" s="101" t="str">
        <x:v>鉱業，採石業，砂利採取業</x:v>
      </x:c>
      <x:c r="D685" s="102" t="n">
        <x:v>13</x:v>
      </x:c>
      <x:c r="E685" s="102" t="n">
        <x:f>1+COUNTIFS($C$4:$C$802,C685,$D$4:$D$802,"&gt;"&amp;D685)</x:f>
        <x:v>43</x:v>
      </x:c>
      <x:c r="F685" s="102" t="n">
        <x:v>811442</x:v>
      </x:c>
      <x:c r="G685" s="126" t="n">
        <x:f>D685/F685*100000</x:f>
        <x:v>1.6020861626585756</x:v>
      </x:c>
      <x:c r="H685" s="127" t="n">
        <x:f>1+COUNTIFS($C$4:$C$802,C685,$G$4:$G$802,"&gt;"&amp;G685)</x:f>
        <x:v>30</x:v>
      </x:c>
      <x:c r="I685" s="128" t="n">
        <x:f>D685/SUMIF($C$4:$C$802,C685,$D$4:$D$802)</x:f>
        <x:v>0.006970509383378016</x:v>
      </x:c>
      <x:c r="J685" s="103" t="n">
        <x:f>(D685/SUMIF($A$4:$A$802,A685,$D$4:$D$802))/(SUMIF($C$4:$C$802,C685,$D$4:$D$802)/SUM($D$4:$D$802))</x:f>
        <x:v>1.0035009220379227</x:v>
      </x:c>
    </x:row>
    <x:row r="686">
      <x:c r="A686" s="101" t="str">
        <x:v>佐賀県</x:v>
      </x:c>
      <x:c r="B686" s="101" t="str">
        <x:v>D</x:v>
      </x:c>
      <x:c r="C686" s="101" t="str">
        <x:v>建設業</x:v>
      </x:c>
      <x:c r="D686" s="102" t="n">
        <x:v>3376</x:v>
      </x:c>
      <x:c r="E686" s="102" t="n">
        <x:f>1+COUNTIFS($C$4:$C$802,C686,$D$4:$D$802,"&gt;"&amp;D686)</x:f>
        <x:v>44</x:v>
      </x:c>
      <x:c r="F686" s="102" t="n">
        <x:v>811442</x:v>
      </x:c>
      <x:c r="G686" s="126" t="n">
        <x:f>D686/F686*100000</x:f>
        <x:v>416.04945270271935</x:v>
      </x:c>
      <x:c r="H686" s="127" t="n">
        <x:f>1+COUNTIFS($C$4:$C$802,C686,$G$4:$G$802,"&gt;"&amp;G686)</x:f>
        <x:v>31</x:v>
      </x:c>
      <x:c r="I686" s="128" t="n">
        <x:f>D686/SUMIF($C$4:$C$802,C686,$D$4:$D$802)</x:f>
        <x:v>0.006958887732280705</x:v>
      </x:c>
      <x:c r="J686" s="103" t="n">
        <x:f>(D686/SUMIF($A$4:$A$802,A686,$D$4:$D$802))/(SUMIF($C$4:$C$802,C686,$D$4:$D$802)/SUM($D$4:$D$802))</x:f>
        <x:v>1.001827825144952</x:v>
      </x:c>
    </x:row>
    <x:row r="687">
      <x:c r="A687" s="101" t="str">
        <x:v>佐賀県</x:v>
      </x:c>
      <x:c r="B687" s="101" t="str">
        <x:v>E</x:v>
      </x:c>
      <x:c r="C687" s="101" t="str">
        <x:v>製造業</x:v>
      </x:c>
      <x:c r="D687" s="102" t="n">
        <x:v>2666</x:v>
      </x:c>
      <x:c r="E687" s="102" t="n">
        <x:f>1+COUNTIFS($C$4:$C$802,C687,$D$4:$D$802,"&gt;"&amp;D687)</x:f>
        <x:v>43</x:v>
      </x:c>
      <x:c r="F687" s="102" t="n">
        <x:v>811442</x:v>
      </x:c>
      <x:c r="G687" s="126" t="n">
        <x:f>D687/F687*100000</x:f>
        <x:v>328.5509007421356</x:v>
      </x:c>
      <x:c r="H687" s="127" t="n">
        <x:f>1+COUNTIFS($C$4:$C$802,C687,$G$4:$G$802,"&gt;"&amp;G687)</x:f>
        <x:v>24</x:v>
      </x:c>
      <x:c r="I687" s="128" t="n">
        <x:f>D687/SUMIF($C$4:$C$802,C687,$D$4:$D$802)</x:f>
        <x:v>0.006461197672417763</x:v>
      </x:c>
      <x:c r="J687" s="103" t="n">
        <x:f>(D687/SUMIF($A$4:$A$802,A687,$D$4:$D$802))/(SUMIF($C$4:$C$802,C687,$D$4:$D$802)/SUM($D$4:$D$802))</x:f>
        <x:v>0.930178479811234</x:v>
      </x:c>
    </x:row>
    <x:row r="688">
      <x:c r="A688" s="101" t="str">
        <x:v>佐賀県</x:v>
      </x:c>
      <x:c r="B688" s="101" t="str">
        <x:v>F</x:v>
      </x:c>
      <x:c r="C688" s="101" t="str">
        <x:v>電気・ガス・熱供給・水道業</x:v>
      </x:c>
      <x:c r="D688" s="102" t="n">
        <x:v>92</x:v>
      </x:c>
      <x:c r="E688" s="102" t="n">
        <x:f>1+COUNTIFS($C$4:$C$802,C688,$D$4:$D$802,"&gt;"&amp;D688)</x:f>
        <x:v>36</x:v>
      </x:c>
      <x:c r="F688" s="102" t="n">
        <x:v>811442</x:v>
      </x:c>
      <x:c r="G688" s="126" t="n">
        <x:f>D688/F688*100000</x:f>
        <x:v>11.337840535737612</x:v>
      </x:c>
      <x:c r="H688" s="127" t="n">
        <x:f>1+COUNTIFS($C$4:$C$802,C688,$G$4:$G$802,"&gt;"&amp;G688)</x:f>
        <x:v>12</x:v>
      </x:c>
      <x:c r="I688" s="128" t="n">
        <x:f>D688/SUMIF($C$4:$C$802,C688,$D$4:$D$802)</x:f>
        <x:v>0.010066746908852172</x:v>
      </x:c>
      <x:c r="J688" s="103" t="n">
        <x:f>(D688/SUMIF($A$4:$A$802,A688,$D$4:$D$802))/(SUMIF($C$4:$C$802,C688,$D$4:$D$802)/SUM($D$4:$D$802))</x:f>
        <x:v>1.449246998941702</x:v>
      </x:c>
    </x:row>
    <x:row r="689">
      <x:c r="A689" s="101" t="str">
        <x:v>佐賀県</x:v>
      </x:c>
      <x:c r="B689" s="101" t="str">
        <x:v>G</x:v>
      </x:c>
      <x:c r="C689" s="101" t="str">
        <x:v>情報通信業</x:v>
      </x:c>
      <x:c r="D689" s="102" t="n">
        <x:v>236</x:v>
      </x:c>
      <x:c r="E689" s="102" t="n">
        <x:f>1+COUNTIFS($C$4:$C$802,C689,$D$4:$D$802,"&gt;"&amp;D689)</x:f>
        <x:v>46</x:v>
      </x:c>
      <x:c r="F689" s="102" t="n">
        <x:v>811442</x:v>
      </x:c>
      <x:c r="G689" s="126" t="n">
        <x:f>D689/F689*100000</x:f>
        <x:v>29.084025722109526</x:v>
      </x:c>
      <x:c r="H689" s="127" t="n">
        <x:f>1+COUNTIFS($C$4:$C$802,C689,$G$4:$G$802,"&gt;"&amp;G689)</x:f>
        <x:v>41</x:v>
      </x:c>
      <x:c r="I689" s="128" t="n">
        <x:f>D689/SUMIF($C$4:$C$802,C689,$D$4:$D$802)</x:f>
        <x:v>0.0030825898979871735</x:v>
      </x:c>
      <x:c r="J689" s="103" t="n">
        <x:f>(D689/SUMIF($A$4:$A$802,A689,$D$4:$D$802))/(SUMIF($C$4:$C$802,C689,$D$4:$D$802)/SUM($D$4:$D$802))</x:f>
        <x:v>0.44378131277915506</x:v>
      </x:c>
    </x:row>
    <x:row r="690">
      <x:c r="A690" s="101" t="str">
        <x:v>佐賀県</x:v>
      </x:c>
      <x:c r="B690" s="101" t="str">
        <x:v>H</x:v>
      </x:c>
      <x:c r="C690" s="101" t="str">
        <x:v>運輸業，郵便業</x:v>
      </x:c>
      <x:c r="D690" s="102" t="n">
        <x:v>887</x:v>
      </x:c>
      <x:c r="E690" s="102" t="n">
        <x:f>1+COUNTIFS($C$4:$C$802,C690,$D$4:$D$802,"&gt;"&amp;D690)</x:f>
        <x:v>39</x:v>
      </x:c>
      <x:c r="F690" s="102" t="n">
        <x:v>811442</x:v>
      </x:c>
      <x:c r="G690" s="126" t="n">
        <x:f>D690/F690*100000</x:f>
        <x:v>109.3115712521659</x:v>
      </x:c>
      <x:c r="H690" s="127" t="n">
        <x:f>1+COUNTIFS($C$4:$C$802,C690,$G$4:$G$802,"&gt;"&amp;G690)</x:f>
        <x:v>16</x:v>
      </x:c>
      <x:c r="I690" s="128" t="n">
        <x:f>D690/SUMIF($C$4:$C$802,C690,$D$4:$D$802)</x:f>
        <x:v>0.006917581731969054</x:v>
      </x:c>
      <x:c r="J690" s="103" t="n">
        <x:f>(D690/SUMIF($A$4:$A$802,A690,$D$4:$D$802))/(SUMIF($C$4:$C$802,C690,$D$4:$D$802)/SUM($D$4:$D$802))</x:f>
        <x:v>0.9958812569504834</x:v>
      </x:c>
    </x:row>
    <x:row r="691">
      <x:c r="A691" s="101" t="str">
        <x:v>佐賀県</x:v>
      </x:c>
      <x:c r="B691" s="101" t="str">
        <x:v>I</x:v>
      </x:c>
      <x:c r="C691" s="101" t="str">
        <x:v>卸売業，小売業</x:v>
      </x:c>
      <x:c r="D691" s="102" t="n">
        <x:v>9320</x:v>
      </x:c>
      <x:c r="E691" s="102" t="n">
        <x:f>1+COUNTIFS($C$4:$C$802,C691,$D$4:$D$802,"&gt;"&amp;D691)</x:f>
        <x:v>42</x:v>
      </x:c>
      <x:c r="F691" s="102" t="n">
        <x:v>811442</x:v>
      </x:c>
      <x:c r="G691" s="126" t="n">
        <x:f>D691/F691*100000</x:f>
        <x:v>1148.5725412290712</x:v>
      </x:c>
      <x:c r="H691" s="127" t="n">
        <x:f>1+COUNTIFS($C$4:$C$802,C691,$G$4:$G$802,"&gt;"&amp;G691)</x:f>
        <x:v>14</x:v>
      </x:c>
      <x:c r="I691" s="128" t="n">
        <x:f>D691/SUMIF($C$4:$C$802,C691,$D$4:$D$802)</x:f>
        <x:v>0.0075838948019399145</x:v>
      </x:c>
      <x:c r="J691" s="103" t="n">
        <x:f>(D691/SUMIF($A$4:$A$802,A691,$D$4:$D$802))/(SUMIF($C$4:$C$802,C691,$D$4:$D$802)/SUM($D$4:$D$802))</x:f>
        <x:v>1.0918062092468162</x:v>
      </x:c>
    </x:row>
    <x:row r="692">
      <x:c r="A692" s="101" t="str">
        <x:v>佐賀県</x:v>
      </x:c>
      <x:c r="B692" s="101" t="str">
        <x:v>J</x:v>
      </x:c>
      <x:c r="C692" s="101" t="str">
        <x:v>金融業，保険業</x:v>
      </x:c>
      <x:c r="D692" s="102" t="n">
        <x:v>642</x:v>
      </x:c>
      <x:c r="E692" s="102" t="n">
        <x:f>1+COUNTIFS($C$4:$C$802,C692,$D$4:$D$802,"&gt;"&amp;D692)</x:f>
        <x:v>42</x:v>
      </x:c>
      <x:c r="F692" s="102" t="n">
        <x:v>811442</x:v>
      </x:c>
      <x:c r="G692" s="126" t="n">
        <x:f>D692/F692*100000</x:f>
        <x:v>79.11840895590812</x:v>
      </x:c>
      <x:c r="H692" s="127" t="n">
        <x:f>1+COUNTIFS($C$4:$C$802,C692,$G$4:$G$802,"&gt;"&amp;G692)</x:f>
        <x:v>15</x:v>
      </x:c>
      <x:c r="I692" s="128" t="n">
        <x:f>D692/SUMIF($C$4:$C$802,C692,$D$4:$D$802)</x:f>
        <x:v>0.00765634689691361</x:v>
      </x:c>
      <x:c r="J692" s="103" t="n">
        <x:f>(D692/SUMIF($A$4:$A$802,A692,$D$4:$D$802))/(SUMIF($C$4:$C$802,C692,$D$4:$D$802)/SUM($D$4:$D$802))</x:f>
        <x:v>1.1022366871517821</x:v>
      </x:c>
    </x:row>
    <x:row r="693">
      <x:c r="A693" s="101" t="str">
        <x:v>佐賀県</x:v>
      </x:c>
      <x:c r="B693" s="101" t="str">
        <x:v>K</x:v>
      </x:c>
      <x:c r="C693" s="101" t="str">
        <x:v>不動産業，物品賃貸業</x:v>
      </x:c>
      <x:c r="D693" s="102" t="n">
        <x:v>1599</x:v>
      </x:c>
      <x:c r="E693" s="102" t="n">
        <x:f>1+COUNTIFS($C$4:$C$802,C693,$D$4:$D$802,"&gt;"&amp;D693)</x:f>
        <x:v>43</x:v>
      </x:c>
      <x:c r="F693" s="102" t="n">
        <x:v>811442</x:v>
      </x:c>
      <x:c r="G693" s="126" t="n">
        <x:f>D693/F693*100000</x:f>
        <x:v>197.05659800700482</x:v>
      </x:c>
      <x:c r="H693" s="127" t="n">
        <x:f>1+COUNTIFS($C$4:$C$802,C693,$G$4:$G$802,"&gt;"&amp;G693)</x:f>
        <x:v>44</x:v>
      </x:c>
      <x:c r="I693" s="128" t="n">
        <x:f>D693/SUMIF($C$4:$C$802,C693,$D$4:$D$802)</x:f>
        <x:v>0.004270194629008481</x:v>
      </x:c>
      <x:c r="J693" s="103" t="n">
        <x:f>(D693/SUMIF($A$4:$A$802,A693,$D$4:$D$802))/(SUMIF($C$4:$C$802,C693,$D$4:$D$802)/SUM($D$4:$D$802))</x:f>
        <x:v>0.6147533862747273</x:v>
      </x:c>
    </x:row>
    <x:row r="694">
      <x:c r="A694" s="101" t="str">
        <x:v>佐賀県</x:v>
      </x:c>
      <x:c r="B694" s="101" t="str">
        <x:v>L</x:v>
      </x:c>
      <x:c r="C694" s="101" t="str">
        <x:v>学術研究，専門・技術サービス業</x:v>
      </x:c>
      <x:c r="D694" s="102" t="n">
        <x:v>1292</x:v>
      </x:c>
      <x:c r="E694" s="102" t="n">
        <x:f>1+COUNTIFS($C$4:$C$802,C694,$D$4:$D$802,"&gt;"&amp;D694)</x:f>
        <x:v>45</x:v>
      </x:c>
      <x:c r="F694" s="102" t="n">
        <x:v>811442</x:v>
      </x:c>
      <x:c r="G694" s="126" t="n">
        <x:f>D694/F694*100000</x:f>
        <x:v>159.2227170888369</x:v>
      </x:c>
      <x:c r="H694" s="127" t="n">
        <x:f>1+COUNTIFS($C$4:$C$802,C694,$G$4:$G$802,"&gt;"&amp;G694)</x:f>
        <x:v>41</x:v>
      </x:c>
      <x:c r="I694" s="128" t="n">
        <x:f>D694/SUMIF($C$4:$C$802,C694,$D$4:$D$802)</x:f>
        <x:v>0.005120076087818023</x:v>
      </x:c>
      <x:c r="J694" s="103" t="n">
        <x:f>(D694/SUMIF($A$4:$A$802,A694,$D$4:$D$802))/(SUMIF($C$4:$C$802,C694,$D$4:$D$802)/SUM($D$4:$D$802))</x:f>
        <x:v>0.7371055388408003</x:v>
      </x:c>
    </x:row>
    <x:row r="695">
      <x:c r="A695" s="101" t="str">
        <x:v>佐賀県</x:v>
      </x:c>
      <x:c r="B695" s="101" t="str">
        <x:v>M</x:v>
      </x:c>
      <x:c r="C695" s="101" t="str">
        <x:v>宿泊業，飲食サービス業</x:v>
      </x:c>
      <x:c r="D695" s="102" t="n">
        <x:v>4172</x:v>
      </x:c>
      <x:c r="E695" s="102" t="n">
        <x:f>1+COUNTIFS($C$4:$C$802,C695,$D$4:$D$802,"&gt;"&amp;D695)</x:f>
        <x:v>44</x:v>
      </x:c>
      <x:c r="F695" s="102" t="n">
        <x:v>811442</x:v>
      </x:c>
      <x:c r="G695" s="126" t="n">
        <x:f>D695/F695*100000</x:f>
        <x:v>514.1464208162752</x:v>
      </x:c>
      <x:c r="H695" s="127" t="n">
        <x:f>1+COUNTIFS($C$4:$C$802,C695,$G$4:$G$802,"&gt;"&amp;G695)</x:f>
        <x:v>23</x:v>
      </x:c>
      <x:c r="I695" s="128" t="n">
        <x:f>D695/SUMIF($C$4:$C$802,C695,$D$4:$D$802)</x:f>
        <x:v>0.006964267232888969</x:v>
      </x:c>
      <x:c r="J695" s="103" t="n">
        <x:f>(D695/SUMIF($A$4:$A$802,A695,$D$4:$D$802))/(SUMIF($C$4:$C$802,C695,$D$4:$D$802)/SUM($D$4:$D$802))</x:f>
        <x:v>1.002602278419969</x:v>
      </x:c>
    </x:row>
    <x:row r="696">
      <x:c r="A696" s="101" t="str">
        <x:v>佐賀県</x:v>
      </x:c>
      <x:c r="B696" s="101" t="str">
        <x:v>N</x:v>
      </x:c>
      <x:c r="C696" s="101" t="str">
        <x:v>生活関連サービス業，娯楽業</x:v>
      </x:c>
      <x:c r="D696" s="102" t="n">
        <x:v>3080</x:v>
      </x:c>
      <x:c r="E696" s="102" t="n">
        <x:f>1+COUNTIFS($C$4:$C$802,C696,$D$4:$D$802,"&gt;"&amp;D696)</x:f>
        <x:v>45</x:v>
      </x:c>
      <x:c r="F696" s="102" t="n">
        <x:v>811442</x:v>
      </x:c>
      <x:c r="G696" s="126" t="n">
        <x:f>D696/F696*100000</x:f>
        <x:v>379.57118315295486</x:v>
      </x:c>
      <x:c r="H696" s="127" t="n">
        <x:f>1+COUNTIFS($C$4:$C$802,C696,$G$4:$G$802,"&gt;"&amp;G696)</x:f>
        <x:v>29</x:v>
      </x:c>
      <x:c r="I696" s="128" t="n">
        <x:f>D696/SUMIF($C$4:$C$802,C696,$D$4:$D$802)</x:f>
        <x:v>0.007093358267562395</x:v>
      </x:c>
      <x:c r="J696" s="103" t="n">
        <x:f>(D696/SUMIF($A$4:$A$802,A696,$D$4:$D$802))/(SUMIF($C$4:$C$802,C696,$D$4:$D$802)/SUM($D$4:$D$802))</x:f>
        <x:v>1.0211867125261083</x:v>
      </x:c>
    </x:row>
    <x:row r="697">
      <x:c r="A697" s="101" t="str">
        <x:v>佐賀県</x:v>
      </x:c>
      <x:c r="B697" s="101" t="str">
        <x:v>O</x:v>
      </x:c>
      <x:c r="C697" s="101" t="str">
        <x:v>教育，学習支援業</x:v>
      </x:c>
      <x:c r="D697" s="102" t="n">
        <x:v>1101</x:v>
      </x:c>
      <x:c r="E697" s="102" t="n">
        <x:f>1+COUNTIFS($C$4:$C$802,C697,$D$4:$D$802,"&gt;"&amp;D697)</x:f>
        <x:v>42</x:v>
      </x:c>
      <x:c r="F697" s="102" t="n">
        <x:v>811442</x:v>
      </x:c>
      <x:c r="G697" s="126" t="n">
        <x:f>D697/F697*100000</x:f>
        <x:v>135.6843742374686</x:v>
      </x:c>
      <x:c r="H697" s="127" t="n">
        <x:f>1+COUNTIFS($C$4:$C$802,C697,$G$4:$G$802,"&gt;"&amp;G697)</x:f>
        <x:v>21</x:v>
      </x:c>
      <x:c r="I697" s="128" t="n">
        <x:f>D697/SUMIF($C$4:$C$802,C697,$D$4:$D$802)</x:f>
        <x:v>0.006739839737507422</x:v>
      </x:c>
      <x:c r="J697" s="103" t="n">
        <x:f>(D697/SUMIF($A$4:$A$802,A697,$D$4:$D$802))/(SUMIF($C$4:$C$802,C697,$D$4:$D$802)/SUM($D$4:$D$802))</x:f>
        <x:v>0.9702928464747099</x:v>
      </x:c>
    </x:row>
    <x:row r="698">
      <x:c r="A698" s="101" t="str">
        <x:v>佐賀県</x:v>
      </x:c>
      <x:c r="B698" s="101" t="str">
        <x:v>P</x:v>
      </x:c>
      <x:c r="C698" s="101" t="str">
        <x:v>医療，福祉</x:v>
      </x:c>
      <x:c r="D698" s="102" t="n">
        <x:v>3464</x:v>
      </x:c>
      <x:c r="E698" s="102" t="n">
        <x:f>1+COUNTIFS($C$4:$C$802,C698,$D$4:$D$802,"&gt;"&amp;D698)</x:f>
        <x:v>41</x:v>
      </x:c>
      <x:c r="F698" s="102" t="n">
        <x:v>811442</x:v>
      </x:c>
      <x:c r="G698" s="126" t="n">
        <x:f>D698/F698*100000</x:f>
        <x:v>426.8943436499467</x:v>
      </x:c>
      <x:c r="H698" s="127" t="n">
        <x:f>1+COUNTIFS($C$4:$C$802,C698,$G$4:$G$802,"&gt;"&amp;G698)</x:f>
        <x:v>8</x:v>
      </x:c>
      <x:c r="I698" s="128" t="n">
        <x:f>D698/SUMIF($C$4:$C$802,C698,$D$4:$D$802)</x:f>
        <x:v>0.007489227749058982</x:v>
      </x:c>
      <x:c r="J698" s="103" t="n">
        <x:f>(D698/SUMIF($A$4:$A$802,A698,$D$4:$D$802))/(SUMIF($C$4:$C$802,C698,$D$4:$D$802)/SUM($D$4:$D$802))</x:f>
        <x:v>1.0781775818929582</x:v>
      </x:c>
    </x:row>
    <x:row r="699">
      <x:c r="A699" s="101" t="str">
        <x:v>佐賀県</x:v>
      </x:c>
      <x:c r="B699" s="101" t="str">
        <x:v>Q</x:v>
      </x:c>
      <x:c r="C699" s="101" t="str">
        <x:v>複合サービス事業</x:v>
      </x:c>
      <x:c r="D699" s="102" t="n">
        <x:v>316</x:v>
      </x:c>
      <x:c r="E699" s="102" t="n">
        <x:f>1+COUNTIFS($C$4:$C$802,C699,$D$4:$D$802,"&gt;"&amp;D699)</x:f>
        <x:v>43</x:v>
      </x:c>
      <x:c r="F699" s="102" t="n">
        <x:v>811442</x:v>
      </x:c>
      <x:c r="G699" s="126" t="n">
        <x:f>D699/F699*100000</x:f>
        <x:v>38.943017492316145</x:v>
      </x:c>
      <x:c r="H699" s="127" t="n">
        <x:f>1+COUNTIFS($C$4:$C$802,C699,$G$4:$G$802,"&gt;"&amp;G699)</x:f>
        <x:v>21</x:v>
      </x:c>
      <x:c r="I699" s="128" t="n">
        <x:f>D699/SUMIF($C$4:$C$802,C699,$D$4:$D$802)</x:f>
        <x:v>0.009834739037067008</x:v>
      </x:c>
      <x:c r="J699" s="103" t="n">
        <x:f>(D699/SUMIF($A$4:$A$802,A699,$D$4:$D$802))/(SUMIF($C$4:$C$802,C699,$D$4:$D$802)/SUM($D$4:$D$802))</x:f>
        <x:v>1.4158462673091392</x:v>
      </x:c>
    </x:row>
    <x:row r="700">
      <x:c r="A700" s="101" t="str">
        <x:v>佐賀県</x:v>
      </x:c>
      <x:c r="B700" s="101" t="str">
        <x:v>R</x:v>
      </x:c>
      <x:c r="C700" s="101" t="str">
        <x:v>サービス業（他に分類されないもの）</x:v>
      </x:c>
      <x:c r="D700" s="102" t="n">
        <x:v>3094</x:v>
      </x:c>
      <x:c r="E700" s="102" t="n">
        <x:f>1+COUNTIFS($C$4:$C$802,C700,$D$4:$D$802,"&gt;"&amp;D700)</x:f>
        <x:v>43</x:v>
      </x:c>
      <x:c r="F700" s="102" t="n">
        <x:v>811442</x:v>
      </x:c>
      <x:c r="G700" s="126" t="n">
        <x:f>D700/F700*100000</x:f>
        <x:v>381.296506712741</x:v>
      </x:c>
      <x:c r="H700" s="127" t="n">
        <x:f>1+COUNTIFS($C$4:$C$802,C700,$G$4:$G$802,"&gt;"&amp;G700)</x:f>
        <x:v>10</x:v>
      </x:c>
      <x:c r="I700" s="128" t="n">
        <x:f>D700/SUMIF($C$4:$C$802,C700,$D$4:$D$802)</x:f>
        <x:v>0.008380009317140289</x:v>
      </x:c>
      <x:c r="J700" s="103" t="n">
        <x:f>(D700/SUMIF($A$4:$A$802,A700,$D$4:$D$802))/(SUMIF($C$4:$C$802,C700,$D$4:$D$802)/SUM($D$4:$D$802))</x:f>
        <x:v>1.2064178690426444</x:v>
      </x:c>
    </x:row>
    <x:row r="701">
      <x:c r="A701" s="101" t="str">
        <x:v>長崎県</x:v>
      </x:c>
      <x:c r="B701" s="101" t="str">
        <x:v>AB</x:v>
      </x:c>
      <x:c r="C701" s="101" t="str">
        <x:v>農林漁業</x:v>
      </x:c>
      <x:c r="D701" s="102" t="n">
        <x:v>758</x:v>
      </x:c>
      <x:c r="E701" s="102" t="n">
        <x:f>1+COUNTIFS($C$4:$C$802,C701,$D$4:$D$802,"&gt;"&amp;D701)</x:f>
        <x:v>25</x:v>
      </x:c>
      <x:c r="F701" s="102" t="n">
        <x:v>1312317</x:v>
      </x:c>
      <x:c r="G701" s="126" t="n">
        <x:f>D701/F701*100000</x:f>
        <x:v>57.76043440723545</x:v>
      </x:c>
      <x:c r="H701" s="127" t="n">
        <x:f>1+COUNTIFS($C$4:$C$802,C701,$G$4:$G$802,"&gt;"&amp;G701)</x:f>
        <x:v>19</x:v>
      </x:c>
      <x:c r="I701" s="128" t="n">
        <x:f>D701/SUMIF($C$4:$C$802,C701,$D$4:$D$802)</x:f>
        <x:v>0.017852937020113997</x:v>
      </x:c>
      <x:c r="J701" s="103" t="n">
        <x:f>(D701/SUMIF($A$4:$A$802,A701,$D$4:$D$802))/(SUMIF($C$4:$C$802,C701,$D$4:$D$802)/SUM($D$4:$D$802))</x:f>
        <x:v>1.5766994623469568</x:v>
      </x:c>
    </x:row>
    <x:row r="702">
      <x:c r="A702" s="101" t="str">
        <x:v>長崎県</x:v>
      </x:c>
      <x:c r="B702" s="101" t="str">
        <x:v>C</x:v>
      </x:c>
      <x:c r="C702" s="101" t="str">
        <x:v>鉱業，採石業，砂利採取業</x:v>
      </x:c>
      <x:c r="D702" s="102" t="n">
        <x:v>28</x:v>
      </x:c>
      <x:c r="E702" s="102" t="n">
        <x:f>1+COUNTIFS($C$4:$C$802,C702,$D$4:$D$802,"&gt;"&amp;D702)</x:f>
        <x:v>30</x:v>
      </x:c>
      <x:c r="F702" s="102" t="n">
        <x:v>1312317</x:v>
      </x:c>
      <x:c r="G702" s="126" t="n">
        <x:f>D702/F702*100000</x:f>
        <x:v>2.133630822430861</x:v>
      </x:c>
      <x:c r="H702" s="127" t="n">
        <x:f>1+COUNTIFS($C$4:$C$802,C702,$G$4:$G$802,"&gt;"&amp;G702)</x:f>
        <x:v>26</x:v>
      </x:c>
      <x:c r="I702" s="128" t="n">
        <x:f>D702/SUMIF($C$4:$C$802,C702,$D$4:$D$802)</x:f>
        <x:v>0.015013404825737266</x:v>
      </x:c>
      <x:c r="J702" s="103" t="n">
        <x:f>(D702/SUMIF($A$4:$A$802,A702,$D$4:$D$802))/(SUMIF($C$4:$C$802,C702,$D$4:$D$802)/SUM($D$4:$D$802))</x:f>
        <x:v>1.3259234203351267</x:v>
      </x:c>
    </x:row>
    <x:row r="703">
      <x:c r="A703" s="101" t="str">
        <x:v>長崎県</x:v>
      </x:c>
      <x:c r="B703" s="101" t="str">
        <x:v>D</x:v>
      </x:c>
      <x:c r="C703" s="101" t="str">
        <x:v>建設業</x:v>
      </x:c>
      <x:c r="D703" s="102" t="n">
        <x:v>5502</x:v>
      </x:c>
      <x:c r="E703" s="102" t="n">
        <x:f>1+COUNTIFS($C$4:$C$802,C703,$D$4:$D$802,"&gt;"&amp;D703)</x:f>
        <x:v>30</x:v>
      </x:c>
      <x:c r="F703" s="102" t="n">
        <x:v>1312317</x:v>
      </x:c>
      <x:c r="G703" s="126" t="n">
        <x:f>D703/F703*100000</x:f>
        <x:v>419.25845660766413</x:v>
      </x:c>
      <x:c r="H703" s="127" t="n">
        <x:f>1+COUNTIFS($C$4:$C$802,C703,$G$4:$G$802,"&gt;"&amp;G703)</x:f>
        <x:v>29</x:v>
      </x:c>
      <x:c r="I703" s="128" t="n">
        <x:f>D703/SUMIF($C$4:$C$802,C703,$D$4:$D$802)</x:f>
        <x:v>0.011341173075535676</x:v>
      </x:c>
      <x:c r="J703" s="103" t="n">
        <x:f>(D703/SUMIF($A$4:$A$802,A703,$D$4:$D$802))/(SUMIF($C$4:$C$802,C703,$D$4:$D$802)/SUM($D$4:$D$802))</x:f>
        <x:v>1.0016067087692389</x:v>
      </x:c>
    </x:row>
    <x:row r="704">
      <x:c r="A704" s="101" t="str">
        <x:v>長崎県</x:v>
      </x:c>
      <x:c r="B704" s="101" t="str">
        <x:v>E</x:v>
      </x:c>
      <x:c r="C704" s="101" t="str">
        <x:v>製造業</x:v>
      </x:c>
      <x:c r="D704" s="102" t="n">
        <x:v>3556</x:v>
      </x:c>
      <x:c r="E704" s="102" t="n">
        <x:f>1+COUNTIFS($C$4:$C$802,C704,$D$4:$D$802,"&gt;"&amp;D704)</x:f>
        <x:v>34</x:v>
      </x:c>
      <x:c r="F704" s="102" t="n">
        <x:v>1312317</x:v>
      </x:c>
      <x:c r="G704" s="126" t="n">
        <x:f>D704/F704*100000</x:f>
        <x:v>270.97111444871933</x:v>
      </x:c>
      <x:c r="H704" s="127" t="n">
        <x:f>1+COUNTIFS($C$4:$C$802,C704,$G$4:$G$802,"&gt;"&amp;G704)</x:f>
        <x:v>35</x:v>
      </x:c>
      <x:c r="I704" s="128" t="n">
        <x:f>D704/SUMIF($C$4:$C$802,C704,$D$4:$D$802)</x:f>
        <x:v>0.00861816163657823</x:v>
      </x:c>
      <x:c r="J704" s="103" t="n">
        <x:f>(D704/SUMIF($A$4:$A$802,A704,$D$4:$D$802))/(SUMIF($C$4:$C$802,C704,$D$4:$D$802)/SUM($D$4:$D$802))</x:f>
        <x:v>0.7611213103761513</x:v>
      </x:c>
    </x:row>
    <x:row r="705">
      <x:c r="A705" s="101" t="str">
        <x:v>長崎県</x:v>
      </x:c>
      <x:c r="B705" s="101" t="str">
        <x:v>F</x:v>
      </x:c>
      <x:c r="C705" s="101" t="str">
        <x:v>電気・ガス・熱供給・水道業</x:v>
      </x:c>
      <x:c r="D705" s="102" t="n">
        <x:v>130</x:v>
      </x:c>
      <x:c r="E705" s="102" t="n">
        <x:f>1+COUNTIFS($C$4:$C$802,C705,$D$4:$D$802,"&gt;"&amp;D705)</x:f>
        <x:v>29</x:v>
      </x:c>
      <x:c r="F705" s="102" t="n">
        <x:v>1312317</x:v>
      </x:c>
      <x:c r="G705" s="126" t="n">
        <x:f>D705/F705*100000</x:f>
        <x:v>9.906143104143283</x:v>
      </x:c>
      <x:c r="H705" s="127" t="n">
        <x:f>1+COUNTIFS($C$4:$C$802,C705,$G$4:$G$802,"&gt;"&amp;G705)</x:f>
        <x:v>20</x:v>
      </x:c>
      <x:c r="I705" s="128" t="n">
        <x:f>D705/SUMIF($C$4:$C$802,C705,$D$4:$D$802)</x:f>
        <x:v>0.01422475106685633</x:v>
      </x:c>
      <x:c r="J705" s="103" t="n">
        <x:f>(D705/SUMIF($A$4:$A$802,A705,$D$4:$D$802))/(SUMIF($C$4:$C$802,C705,$D$4:$D$802)/SUM($D$4:$D$802))</x:f>
        <x:v>1.256272698092365</x:v>
      </x:c>
    </x:row>
    <x:row r="706">
      <x:c r="A706" s="101" t="str">
        <x:v>長崎県</x:v>
      </x:c>
      <x:c r="B706" s="101" t="str">
        <x:v>G</x:v>
      </x:c>
      <x:c r="C706" s="101" t="str">
        <x:v>情報通信業</x:v>
      </x:c>
      <x:c r="D706" s="102" t="n">
        <x:v>390</x:v>
      </x:c>
      <x:c r="E706" s="102" t="n">
        <x:f>1+COUNTIFS($C$4:$C$802,C706,$D$4:$D$802,"&gt;"&amp;D706)</x:f>
        <x:v>33</x:v>
      </x:c>
      <x:c r="F706" s="102" t="n">
        <x:v>1312317</x:v>
      </x:c>
      <x:c r="G706" s="126" t="n">
        <x:f>D706/F706*100000</x:f>
        <x:v>29.718429312429848</x:v>
      </x:c>
      <x:c r="H706" s="127" t="n">
        <x:f>1+COUNTIFS($C$4:$C$802,C706,$G$4:$G$802,"&gt;"&amp;G706)</x:f>
        <x:v>37</x:v>
      </x:c>
      <x:c r="I706" s="128" t="n">
        <x:f>D706/SUMIF($C$4:$C$802,C706,$D$4:$D$802)</x:f>
        <x:v>0.0050941104246398205</x:v>
      </x:c>
      <x:c r="J706" s="103" t="n">
        <x:f>(D706/SUMIF($A$4:$A$802,A706,$D$4:$D$802))/(SUMIF($C$4:$C$802,C706,$D$4:$D$802)/SUM($D$4:$D$802))</x:f>
        <x:v>0.44989130688225254</x:v>
      </x:c>
    </x:row>
    <x:row r="707">
      <x:c r="A707" s="101" t="str">
        <x:v>長崎県</x:v>
      </x:c>
      <x:c r="B707" s="101" t="str">
        <x:v>H</x:v>
      </x:c>
      <x:c r="C707" s="101" t="str">
        <x:v>運輸業，郵便業</x:v>
      </x:c>
      <x:c r="D707" s="102" t="n">
        <x:v>1329</x:v>
      </x:c>
      <x:c r="E707" s="102" t="n">
        <x:f>1+COUNTIFS($C$4:$C$802,C707,$D$4:$D$802,"&gt;"&amp;D707)</x:f>
        <x:v>30</x:v>
      </x:c>
      <x:c r="F707" s="102" t="n">
        <x:v>1312317</x:v>
      </x:c>
      <x:c r="G707" s="126" t="n">
        <x:f>D707/F707*100000</x:f>
        <x:v>101.27126296466479</x:v>
      </x:c>
      <x:c r="H707" s="127" t="n">
        <x:f>1+COUNTIFS($C$4:$C$802,C707,$G$4:$G$802,"&gt;"&amp;G707)</x:f>
        <x:v>26</x:v>
      </x:c>
      <x:c r="I707" s="128" t="n">
        <x:f>D707/SUMIF($C$4:$C$802,C707,$D$4:$D$802)</x:f>
        <x:v>0.010364674319940105</x:v>
      </x:c>
      <x:c r="J707" s="103" t="n">
        <x:f>(D707/SUMIF($A$4:$A$802,A707,$D$4:$D$802))/(SUMIF($C$4:$C$802,C707,$D$4:$D$802)/SUM($D$4:$D$802))</x:f>
        <x:v>0.9153662733050142</x:v>
      </x:c>
    </x:row>
    <x:row r="708">
      <x:c r="A708" s="101" t="str">
        <x:v>長崎県</x:v>
      </x:c>
      <x:c r="B708" s="101" t="str">
        <x:v>I</x:v>
      </x:c>
      <x:c r="C708" s="101" t="str">
        <x:v>卸売業，小売業</x:v>
      </x:c>
      <x:c r="D708" s="102" t="n">
        <x:v>15456</x:v>
      </x:c>
      <x:c r="E708" s="102" t="n">
        <x:f>1+COUNTIFS($C$4:$C$802,C708,$D$4:$D$802,"&gt;"&amp;D708)</x:f>
        <x:v>25</x:v>
      </x:c>
      <x:c r="F708" s="102" t="n">
        <x:v>1312317</x:v>
      </x:c>
      <x:c r="G708" s="126" t="n">
        <x:f>D708/F708*100000</x:f>
        <x:v>1177.7642139818352</x:v>
      </x:c>
      <x:c r="H708" s="127" t="n">
        <x:f>1+COUNTIFS($C$4:$C$802,C708,$G$4:$G$802,"&gt;"&amp;G708)</x:f>
        <x:v>11</x:v>
      </x:c>
      <x:c r="I708" s="128" t="n">
        <x:f>D708/SUMIF($C$4:$C$802,C708,$D$4:$D$802)</x:f>
        <x:v>0.012576896787423103</x:v>
      </x:c>
      <x:c r="J708" s="103" t="n">
        <x:f>(D708/SUMIF($A$4:$A$802,A708,$D$4:$D$802))/(SUMIF($C$4:$C$802,C708,$D$4:$D$802)/SUM($D$4:$D$802))</x:f>
        <x:v>1.1107408478717948</x:v>
      </x:c>
    </x:row>
    <x:row r="709">
      <x:c r="A709" s="101" t="str">
        <x:v>長崎県</x:v>
      </x:c>
      <x:c r="B709" s="101" t="str">
        <x:v>J</x:v>
      </x:c>
      <x:c r="C709" s="101" t="str">
        <x:v>金融業，保険業</x:v>
      </x:c>
      <x:c r="D709" s="102" t="n">
        <x:v>969</x:v>
      </x:c>
      <x:c r="E709" s="102" t="n">
        <x:f>1+COUNTIFS($C$4:$C$802,C709,$D$4:$D$802,"&gt;"&amp;D709)</x:f>
        <x:v>28</x:v>
      </x:c>
      <x:c r="F709" s="102" t="n">
        <x:v>1312317</x:v>
      </x:c>
      <x:c r="G709" s="126" t="n">
        <x:f>D709/F709*100000</x:f>
        <x:v>73.83886667626801</x:v>
      </x:c>
      <x:c r="H709" s="127" t="n">
        <x:f>1+COUNTIFS($C$4:$C$802,C709,$G$4:$G$802,"&gt;"&amp;G709)</x:f>
        <x:v>25</x:v>
      </x:c>
      <x:c r="I709" s="128" t="n">
        <x:f>D709/SUMIF($C$4:$C$802,C709,$D$4:$D$802)</x:f>
        <x:v>0.011556074989266803</x:v>
      </x:c>
      <x:c r="J709" s="103" t="n">
        <x:f>(D709/SUMIF($A$4:$A$802,A709,$D$4:$D$802))/(SUMIF($C$4:$C$802,C709,$D$4:$D$802)/SUM($D$4:$D$802))</x:f>
        <x:v>1.0205859798805106</x:v>
      </x:c>
    </x:row>
    <x:row r="710">
      <x:c r="A710" s="101" t="str">
        <x:v>長崎県</x:v>
      </x:c>
      <x:c r="B710" s="101" t="str">
        <x:v>K</x:v>
      </x:c>
      <x:c r="C710" s="101" t="str">
        <x:v>不動産業，物品賃貸業</x:v>
      </x:c>
      <x:c r="D710" s="102" t="n">
        <x:v>3462</x:v>
      </x:c>
      <x:c r="E710" s="102" t="n">
        <x:f>1+COUNTIFS($C$4:$C$802,C710,$D$4:$D$802,"&gt;"&amp;D710)</x:f>
        <x:v>26</x:v>
      </x:c>
      <x:c r="F710" s="102" t="n">
        <x:v>1312317</x:v>
      </x:c>
      <x:c r="G710" s="126" t="n">
        <x:f>D710/F710*100000</x:f>
        <x:v>263.8082109734157</x:v>
      </x:c>
      <x:c r="H710" s="127" t="n">
        <x:f>1+COUNTIFS($C$4:$C$802,C710,$G$4:$G$802,"&gt;"&amp;G710)</x:f>
        <x:v>22</x:v>
      </x:c>
      <x:c r="I710" s="128" t="n">
        <x:f>D710/SUMIF($C$4:$C$802,C710,$D$4:$D$802)</x:f>
        <x:v>0.009245412011023992</x:v>
      </x:c>
      <x:c r="J710" s="103" t="n">
        <x:f>(D710/SUMIF($A$4:$A$802,A710,$D$4:$D$802))/(SUMIF($C$4:$C$802,C710,$D$4:$D$802)/SUM($D$4:$D$802))</x:f>
        <x:v>0.8165175360521462</x:v>
      </x:c>
    </x:row>
    <x:row r="711">
      <x:c r="A711" s="101" t="str">
        <x:v>長崎県</x:v>
      </x:c>
      <x:c r="B711" s="101" t="str">
        <x:v>L</x:v>
      </x:c>
      <x:c r="C711" s="101" t="str">
        <x:v>学術研究，専門・技術サービス業</x:v>
      </x:c>
      <x:c r="D711" s="102" t="n">
        <x:v>2173</x:v>
      </x:c>
      <x:c r="E711" s="102" t="n">
        <x:f>1+COUNTIFS($C$4:$C$802,C711,$D$4:$D$802,"&gt;"&amp;D711)</x:f>
        <x:v>30</x:v>
      </x:c>
      <x:c r="F711" s="102" t="n">
        <x:v>1312317</x:v>
      </x:c>
      <x:c r="G711" s="126" t="n">
        <x:f>D711/F711*100000</x:f>
        <x:v>165.58499204079502</x:v>
      </x:c>
      <x:c r="H711" s="127" t="n">
        <x:f>1+COUNTIFS($C$4:$C$802,C711,$G$4:$G$802,"&gt;"&amp;G711)</x:f>
        <x:v>37</x:v>
      </x:c>
      <x:c r="I711" s="128" t="n">
        <x:f>D711/SUMIF($C$4:$C$802,C711,$D$4:$D$802)</x:f>
        <x:v>0.008611397321074741</x:v>
      </x:c>
      <x:c r="J711" s="103" t="n">
        <x:f>(D711/SUMIF($A$4:$A$802,A711,$D$4:$D$802))/(SUMIF($C$4:$C$802,C711,$D$4:$D$802)/SUM($D$4:$D$802))</x:f>
        <x:v>0.7605239132865025</x:v>
      </x:c>
    </x:row>
    <x:row r="712">
      <x:c r="A712" s="101" t="str">
        <x:v>長崎県</x:v>
      </x:c>
      <x:c r="B712" s="101" t="str">
        <x:v>M</x:v>
      </x:c>
      <x:c r="C712" s="101" t="str">
        <x:v>宿泊業，飲食サービス業</x:v>
      </x:c>
      <x:c r="D712" s="102" t="n">
        <x:v>6899</x:v>
      </x:c>
      <x:c r="E712" s="102" t="n">
        <x:f>1+COUNTIFS($C$4:$C$802,C712,$D$4:$D$802,"&gt;"&amp;D712)</x:f>
        <x:v>26</x:v>
      </x:c>
      <x:c r="F712" s="102" t="n">
        <x:v>1312317</x:v>
      </x:c>
      <x:c r="G712" s="126" t="n">
        <x:f>D712/F712*100000</x:f>
        <x:v>525.7113944268038</x:v>
      </x:c>
      <x:c r="H712" s="127" t="n">
        <x:f>1+COUNTIFS($C$4:$C$802,C712,$G$4:$G$802,"&gt;"&amp;G712)</x:f>
        <x:v>18</x:v>
      </x:c>
      <x:c r="I712" s="128" t="n">
        <x:f>D712/SUMIF($C$4:$C$802,C712,$D$4:$D$802)</x:f>
        <x:v>0.01151641410347579</x:v>
      </x:c>
      <x:c r="J712" s="103" t="n">
        <x:f>(D712/SUMIF($A$4:$A$802,A712,$D$4:$D$802))/(SUMIF($C$4:$C$802,C712,$D$4:$D$802)/SUM($D$4:$D$802))</x:f>
        <x:v>1.0170832902540115</x:v>
      </x:c>
    </x:row>
    <x:row r="713">
      <x:c r="A713" s="101" t="str">
        <x:v>長崎県</x:v>
      </x:c>
      <x:c r="B713" s="101" t="str">
        <x:v>N</x:v>
      </x:c>
      <x:c r="C713" s="101" t="str">
        <x:v>生活関連サービス業，娯楽業</x:v>
      </x:c>
      <x:c r="D713" s="102" t="n">
        <x:v>5345</x:v>
      </x:c>
      <x:c r="E713" s="102" t="n">
        <x:f>1+COUNTIFS($C$4:$C$802,C713,$D$4:$D$802,"&gt;"&amp;D713)</x:f>
        <x:v>30</x:v>
      </x:c>
      <x:c r="F713" s="102" t="n">
        <x:v>1312317</x:v>
      </x:c>
      <x:c r="G713" s="126" t="n">
        <x:f>D713/F713*100000</x:f>
        <x:v>407.29488378189114</x:v>
      </x:c>
      <x:c r="H713" s="127" t="n">
        <x:f>1+COUNTIFS($C$4:$C$802,C713,$G$4:$G$802,"&gt;"&amp;G713)</x:f>
        <x:v>19</x:v>
      </x:c>
      <x:c r="I713" s="128" t="n">
        <x:f>D713/SUMIF($C$4:$C$802,C713,$D$4:$D$802)</x:f>
        <x:v>0.012309740240299027</x:v>
      </x:c>
      <x:c r="J713" s="103" t="n">
        <x:f>(D713/SUMIF($A$4:$A$802,A713,$D$4:$D$802))/(SUMIF($C$4:$C$802,C713,$D$4:$D$802)/SUM($D$4:$D$802))</x:f>
        <x:v>1.0871466580901121</x:v>
      </x:c>
    </x:row>
    <x:row r="714">
      <x:c r="A714" s="101" t="str">
        <x:v>長崎県</x:v>
      </x:c>
      <x:c r="B714" s="101" t="str">
        <x:v>O</x:v>
      </x:c>
      <x:c r="C714" s="101" t="str">
        <x:v>教育，学習支援業</x:v>
      </x:c>
      <x:c r="D714" s="102" t="n">
        <x:v>1593</x:v>
      </x:c>
      <x:c r="E714" s="102" t="n">
        <x:f>1+COUNTIFS($C$4:$C$802,C714,$D$4:$D$802,"&gt;"&amp;D714)</x:f>
        <x:v>32</x:v>
      </x:c>
      <x:c r="F714" s="102" t="n">
        <x:v>1312317</x:v>
      </x:c>
      <x:c r="G714" s="126" t="n">
        <x:f>D714/F714*100000</x:f>
        <x:v>121.38835357615575</x:v>
      </x:c>
      <x:c r="H714" s="127" t="n">
        <x:f>1+COUNTIFS($C$4:$C$802,C714,$G$4:$G$802,"&gt;"&amp;G714)</x:f>
        <x:v>34</x:v>
      </x:c>
      <x:c r="I714" s="128" t="n">
        <x:f>D714/SUMIF($C$4:$C$802,C714,$D$4:$D$802)</x:f>
        <x:v>0.00975164823056251</x:v>
      </x:c>
      <x:c r="J714" s="103" t="n">
        <x:f>(D714/SUMIF($A$4:$A$802,A714,$D$4:$D$802))/(SUMIF($C$4:$C$802,C714,$D$4:$D$802)/SUM($D$4:$D$802))</x:f>
        <x:v>0.861226279171985</x:v>
      </x:c>
    </x:row>
    <x:row r="715">
      <x:c r="A715" s="101" t="str">
        <x:v>長崎県</x:v>
      </x:c>
      <x:c r="B715" s="101" t="str">
        <x:v>P</x:v>
      </x:c>
      <x:c r="C715" s="101" t="str">
        <x:v>医療，福祉</x:v>
      </x:c>
      <x:c r="D715" s="102" t="n">
        <x:v>6058</x:v>
      </x:c>
      <x:c r="E715" s="102" t="n">
        <x:f>1+COUNTIFS($C$4:$C$802,C715,$D$4:$D$802,"&gt;"&amp;D715)</x:f>
        <x:v>24</x:v>
      </x:c>
      <x:c r="F715" s="102" t="n">
        <x:v>1312317</x:v>
      </x:c>
      <x:c r="G715" s="126" t="n">
        <x:f>D715/F715*100000</x:f>
        <x:v>461.626268653077</x:v>
      </x:c>
      <x:c r="H715" s="127" t="n">
        <x:f>1+COUNTIFS($C$4:$C$802,C715,$G$4:$G$802,"&gt;"&amp;G715)</x:f>
        <x:v>2</x:v>
      </x:c>
      <x:c r="I715" s="128" t="n">
        <x:f>D715/SUMIF($C$4:$C$802,C715,$D$4:$D$802)</x:f>
        <x:v>0.013097500491858925</x:v>
      </x:c>
      <x:c r="J715" s="103" t="n">
        <x:f>(D715/SUMIF($A$4:$A$802,A715,$D$4:$D$802))/(SUMIF($C$4:$C$802,C715,$D$4:$D$802)/SUM($D$4:$D$802))</x:f>
        <x:v>1.1567184693665102</x:v>
      </x:c>
    </x:row>
    <x:row r="716">
      <x:c r="A716" s="101" t="str">
        <x:v>長崎県</x:v>
      </x:c>
      <x:c r="B716" s="101" t="str">
        <x:v>Q</x:v>
      </x:c>
      <x:c r="C716" s="101" t="str">
        <x:v>複合サービス事業</x:v>
      </x:c>
      <x:c r="D716" s="102" t="n">
        <x:v>583</x:v>
      </x:c>
      <x:c r="E716" s="102" t="n">
        <x:f>1+COUNTIFS($C$4:$C$802,C716,$D$4:$D$802,"&gt;"&amp;D716)</x:f>
        <x:v>24</x:v>
      </x:c>
      <x:c r="F716" s="102" t="n">
        <x:v>1312317</x:v>
      </x:c>
      <x:c r="G716" s="126" t="n">
        <x:f>D716/F716*100000</x:f>
        <x:v>44.425241767042564</x:v>
      </x:c>
      <x:c r="H716" s="127" t="n">
        <x:f>1+COUNTIFS($C$4:$C$802,C716,$G$4:$G$802,"&gt;"&amp;G716)</x:f>
        <x:v>10</x:v>
      </x:c>
      <x:c r="I716" s="128" t="n">
        <x:f>D716/SUMIF($C$4:$C$802,C716,$D$4:$D$802)</x:f>
        <x:v>0.01814447107155084</x:v>
      </x:c>
      <x:c r="J716" s="103" t="n">
        <x:f>(D716/SUMIF($A$4:$A$802,A716,$D$4:$D$802))/(SUMIF($C$4:$C$802,C716,$D$4:$D$802)/SUM($D$4:$D$802))</x:f>
        <x:v>1.6024465750846772</x:v>
      </x:c>
    </x:row>
    <x:row r="717">
      <x:c r="A717" s="101" t="str">
        <x:v>長崎県</x:v>
      </x:c>
      <x:c r="B717" s="101" t="str">
        <x:v>R</x:v>
      </x:c>
      <x:c r="C717" s="101" t="str">
        <x:v>サービス業（他に分類されないもの）</x:v>
      </x:c>
      <x:c r="D717" s="102" t="n">
        <x:v>4151</x:v>
      </x:c>
      <x:c r="E717" s="102" t="n">
        <x:f>1+COUNTIFS($C$4:$C$802,C717,$D$4:$D$802,"&gt;"&amp;D717)</x:f>
        <x:v>34</x:v>
      </x:c>
      <x:c r="F717" s="102" t="n">
        <x:v>1312317</x:v>
      </x:c>
      <x:c r="G717" s="126" t="n">
        <x:f>D717/F717*100000</x:f>
        <x:v>316.31076942537516</x:v>
      </x:c>
      <x:c r="H717" s="127" t="n">
        <x:f>1+COUNTIFS($C$4:$C$802,C717,$G$4:$G$802,"&gt;"&amp;G717)</x:f>
        <x:v>29</x:v>
      </x:c>
      <x:c r="I717" s="128" t="n">
        <x:f>D717/SUMIF($C$4:$C$802,C717,$D$4:$D$802)</x:f>
        <x:v>0.01124286317887826</x:v>
      </x:c>
      <x:c r="J717" s="103" t="n">
        <x:f>(D717/SUMIF($A$4:$A$802,A717,$D$4:$D$802))/(SUMIF($C$4:$C$802,C717,$D$4:$D$802)/SUM($D$4:$D$802))</x:f>
        <x:v>0.9929243748188924</x:v>
      </x:c>
    </x:row>
    <x:row r="718">
      <x:c r="A718" s="101" t="str">
        <x:v>熊本県</x:v>
      </x:c>
      <x:c r="B718" s="101" t="str">
        <x:v>AB</x:v>
      </x:c>
      <x:c r="C718" s="101" t="str">
        <x:v>農林漁業</x:v>
      </x:c>
      <x:c r="D718" s="102" t="n">
        <x:v>1230</x:v>
      </x:c>
      <x:c r="E718" s="102" t="n">
        <x:f>1+COUNTIFS($C$4:$C$802,C718,$D$4:$D$802,"&gt;"&amp;D718)</x:f>
        <x:v>7</x:v>
      </x:c>
      <x:c r="F718" s="102" t="n">
        <x:v>1738301</x:v>
      </x:c>
      <x:c r="G718" s="126" t="n">
        <x:f>D718/F718*100000</x:f>
        <x:v>70.75874661522947</x:v>
      </x:c>
      <x:c r="H718" s="127" t="n">
        <x:f>1+COUNTIFS($C$4:$C$802,C718,$G$4:$G$802,"&gt;"&amp;G718)</x:f>
        <x:v>11</x:v>
      </x:c>
      <x:c r="I718" s="128" t="n">
        <x:f>D718/SUMIF($C$4:$C$802,C718,$D$4:$D$802)</x:f>
        <x:v>0.02896980545480239</x:v>
      </x:c>
      <x:c r="J718" s="103" t="n">
        <x:f>(D718/SUMIF($A$4:$A$802,A718,$D$4:$D$802))/(SUMIF($C$4:$C$802,C718,$D$4:$D$802)/SUM($D$4:$D$802))</x:f>
        <x:v>2.053367178361168</x:v>
      </x:c>
    </x:row>
    <x:row r="719">
      <x:c r="A719" s="101" t="str">
        <x:v>熊本県</x:v>
      </x:c>
      <x:c r="B719" s="101" t="str">
        <x:v>C</x:v>
      </x:c>
      <x:c r="C719" s="101" t="str">
        <x:v>鉱業，採石業，砂利採取業</x:v>
      </x:c>
      <x:c r="D719" s="102" t="n">
        <x:v>29</x:v>
      </x:c>
      <x:c r="E719" s="102" t="n">
        <x:f>1+COUNTIFS($C$4:$C$802,C719,$D$4:$D$802,"&gt;"&amp;D719)</x:f>
        <x:v>25</x:v>
      </x:c>
      <x:c r="F719" s="102" t="n">
        <x:v>1738301</x:v>
      </x:c>
      <x:c r="G719" s="126" t="n">
        <x:f>D719/F719*100000</x:f>
        <x:v>1.6682956519037841</x:v>
      </x:c>
      <x:c r="H719" s="127" t="n">
        <x:f>1+COUNTIFS($C$4:$C$802,C719,$G$4:$G$802,"&gt;"&amp;G719)</x:f>
        <x:v>29</x:v>
      </x:c>
      <x:c r="I719" s="128" t="n">
        <x:f>D719/SUMIF($C$4:$C$802,C719,$D$4:$D$802)</x:f>
        <x:v>0.015549597855227882</x:v>
      </x:c>
      <x:c r="J719" s="103" t="n">
        <x:f>(D719/SUMIF($A$4:$A$802,A719,$D$4:$D$802))/(SUMIF($C$4:$C$802,C719,$D$4:$D$802)/SUM($D$4:$D$802))</x:f>
        <x:v>1.1021487155809393</x:v>
      </x:c>
    </x:row>
    <x:row r="720">
      <x:c r="A720" s="101" t="str">
        <x:v>熊本県</x:v>
      </x:c>
      <x:c r="B720" s="101" t="str">
        <x:v>D</x:v>
      </x:c>
      <x:c r="C720" s="101" t="str">
        <x:v>建設業</x:v>
      </x:c>
      <x:c r="D720" s="102" t="n">
        <x:v>7351</x:v>
      </x:c>
      <x:c r="E720" s="102" t="n">
        <x:f>1+COUNTIFS($C$4:$C$802,C720,$D$4:$D$802,"&gt;"&amp;D720)</x:f>
        <x:v>23</x:v>
      </x:c>
      <x:c r="F720" s="102" t="n">
        <x:v>1738301</x:v>
      </x:c>
      <x:c r="G720" s="126" t="n">
        <x:f>D720/F720*100000</x:f>
        <x:v>422.884184039473</x:v>
      </x:c>
      <x:c r="H720" s="127" t="n">
        <x:f>1+COUNTIFS($C$4:$C$802,C720,$G$4:$G$802,"&gt;"&amp;G720)</x:f>
        <x:v>27</x:v>
      </x:c>
      <x:c r="I720" s="128" t="n">
        <x:f>D720/SUMIF($C$4:$C$802,C720,$D$4:$D$802)</x:f>
        <x:v>0.015152483329382543</x:v>
      </x:c>
      <x:c r="J720" s="103" t="n">
        <x:f>(D720/SUMIF($A$4:$A$802,A720,$D$4:$D$802))/(SUMIF($C$4:$C$802,C720,$D$4:$D$802)/SUM($D$4:$D$802))</x:f>
        <x:v>1.0740014111506948</x:v>
      </x:c>
    </x:row>
    <x:row r="721">
      <x:c r="A721" s="101" t="str">
        <x:v>熊本県</x:v>
      </x:c>
      <x:c r="B721" s="101" t="str">
        <x:v>E</x:v>
      </x:c>
      <x:c r="C721" s="101" t="str">
        <x:v>製造業</x:v>
      </x:c>
      <x:c r="D721" s="102" t="n">
        <x:v>3978</x:v>
      </x:c>
      <x:c r="E721" s="102" t="n">
        <x:f>1+COUNTIFS($C$4:$C$802,C721,$D$4:$D$802,"&gt;"&amp;D721)</x:f>
        <x:v>32</x:v>
      </x:c>
      <x:c r="F721" s="102" t="n">
        <x:v>1738301</x:v>
      </x:c>
      <x:c r="G721" s="126" t="n">
        <x:f>D721/F721*100000</x:f>
        <x:v>228.84414149218117</x:v>
      </x:c>
      <x:c r="H721" s="127" t="n">
        <x:f>1+COUNTIFS($C$4:$C$802,C721,$G$4:$G$802,"&gt;"&amp;G721)</x:f>
        <x:v>40</x:v>
      </x:c>
      <x:c r="I721" s="128" t="n">
        <x:f>D721/SUMIF($C$4:$C$802,C721,$D$4:$D$802)</x:f>
        <x:v>0.00964090185329252</x:v>
      </x:c>
      <x:c r="J721" s="103" t="n">
        <x:f>(D721/SUMIF($A$4:$A$802,A721,$D$4:$D$802))/(SUMIF($C$4:$C$802,C721,$D$4:$D$802)/SUM($D$4:$D$802))</x:f>
        <x:v>0.6833429194489304</x:v>
      </x:c>
    </x:row>
    <x:row r="722">
      <x:c r="A722" s="101" t="str">
        <x:v>熊本県</x:v>
      </x:c>
      <x:c r="B722" s="101" t="str">
        <x:v>F</x:v>
      </x:c>
      <x:c r="C722" s="101" t="str">
        <x:v>電気・ガス・熱供給・水道業</x:v>
      </x:c>
      <x:c r="D722" s="102" t="n">
        <x:v>199</x:v>
      </x:c>
      <x:c r="E722" s="102" t="n">
        <x:f>1+COUNTIFS($C$4:$C$802,C722,$D$4:$D$802,"&gt;"&amp;D722)</x:f>
        <x:v>18</x:v>
      </x:c>
      <x:c r="F722" s="102" t="n">
        <x:v>1738301</x:v>
      </x:c>
      <x:c r="G722" s="126" t="n">
        <x:f>D722/F722*100000</x:f>
        <x:v>11.447959818236313</x:v>
      </x:c>
      <x:c r="H722" s="127" t="n">
        <x:f>1+COUNTIFS($C$4:$C$802,C722,$G$4:$G$802,"&gt;"&amp;G722)</x:f>
        <x:v>11</x:v>
      </x:c>
      <x:c r="I722" s="128" t="n">
        <x:f>D722/SUMIF($C$4:$C$802,C722,$D$4:$D$802)</x:f>
        <x:v>0.02177481124849546</x:v>
      </x:c>
      <x:c r="J722" s="103" t="n">
        <x:f>(D722/SUMIF($A$4:$A$802,A722,$D$4:$D$802))/(SUMIF($C$4:$C$802,C722,$D$4:$D$802)/SUM($D$4:$D$802))</x:f>
        <x:v>1.5433891263932593</x:v>
      </x:c>
    </x:row>
    <x:row r="723">
      <x:c r="A723" s="101" t="str">
        <x:v>熊本県</x:v>
      </x:c>
      <x:c r="B723" s="101" t="str">
        <x:v>G</x:v>
      </x:c>
      <x:c r="C723" s="101" t="str">
        <x:v>情報通信業</x:v>
      </x:c>
      <x:c r="D723" s="102" t="n">
        <x:v>572</x:v>
      </x:c>
      <x:c r="E723" s="102" t="n">
        <x:f>1+COUNTIFS($C$4:$C$802,C723,$D$4:$D$802,"&gt;"&amp;D723)</x:f>
        <x:v>21</x:v>
      </x:c>
      <x:c r="F723" s="102" t="n">
        <x:v>1738301</x:v>
      </x:c>
      <x:c r="G723" s="126" t="n">
        <x:f>D723/F723*100000</x:f>
        <x:v>32.90569354789533</x:v>
      </x:c>
      <x:c r="H723" s="127" t="n">
        <x:f>1+COUNTIFS($C$4:$C$802,C723,$G$4:$G$802,"&gt;"&amp;G723)</x:f>
        <x:v>28</x:v>
      </x:c>
      <x:c r="I723" s="128" t="n">
        <x:f>D723/SUMIF($C$4:$C$802,C723,$D$4:$D$802)</x:f>
        <x:v>0.007471361956138403</x:v>
      </x:c>
      <x:c r="J723" s="103" t="n">
        <x:f>(D723/SUMIF($A$4:$A$802,A723,$D$4:$D$802))/(SUMIF($C$4:$C$802,C723,$D$4:$D$802)/SUM($D$4:$D$802))</x:f>
        <x:v>0.5295668775658865</x:v>
      </x:c>
    </x:row>
    <x:row r="724">
      <x:c r="A724" s="101" t="str">
        <x:v>熊本県</x:v>
      </x:c>
      <x:c r="B724" s="101" t="str">
        <x:v>H</x:v>
      </x:c>
      <x:c r="C724" s="101" t="str">
        <x:v>運輸業，郵便業</x:v>
      </x:c>
      <x:c r="D724" s="102" t="n">
        <x:v>1609</x:v>
      </x:c>
      <x:c r="E724" s="102" t="n">
        <x:f>1+COUNTIFS($C$4:$C$802,C724,$D$4:$D$802,"&gt;"&amp;D724)</x:f>
        <x:v>25</x:v>
      </x:c>
      <x:c r="F724" s="102" t="n">
        <x:v>1738301</x:v>
      </x:c>
      <x:c r="G724" s="126" t="n">
        <x:f>D724/F724*100000</x:f>
        <x:v>92.56164496252376</x:v>
      </x:c>
      <x:c r="H724" s="127" t="n">
        <x:f>1+COUNTIFS($C$4:$C$802,C724,$G$4:$G$802,"&gt;"&amp;G724)</x:f>
        <x:v>36</x:v>
      </x:c>
      <x:c r="I724" s="128" t="n">
        <x:f>D724/SUMIF($C$4:$C$802,C724,$D$4:$D$802)</x:f>
        <x:v>0.012548352882455703</x:v>
      </x:c>
      <x:c r="J724" s="103" t="n">
        <x:f>(D724/SUMIF($A$4:$A$802,A724,$D$4:$D$802))/(SUMIF($C$4:$C$802,C724,$D$4:$D$802)/SUM($D$4:$D$802))</x:f>
        <x:v>0.8894217806028428</x:v>
      </x:c>
    </x:row>
    <x:row r="725">
      <x:c r="A725" s="101" t="str">
        <x:v>熊本県</x:v>
      </x:c>
      <x:c r="B725" s="101" t="str">
        <x:v>I</x:v>
      </x:c>
      <x:c r="C725" s="101" t="str">
        <x:v>卸売業，小売業</x:v>
      </x:c>
      <x:c r="D725" s="102" t="n">
        <x:v>18834</x:v>
      </x:c>
      <x:c r="E725" s="102" t="n">
        <x:f>1+COUNTIFS($C$4:$C$802,C725,$D$4:$D$802,"&gt;"&amp;D725)</x:f>
        <x:v>23</x:v>
      </x:c>
      <x:c r="F725" s="102" t="n">
        <x:v>1738301</x:v>
      </x:c>
      <x:c r="G725" s="126" t="n">
        <x:f>D725/F725*100000</x:f>
        <x:v>1083.471734757099</x:v>
      </x:c>
      <x:c r="H725" s="127" t="n">
        <x:f>1+COUNTIFS($C$4:$C$802,C725,$G$4:$G$802,"&gt;"&amp;G725)</x:f>
        <x:v>27</x:v>
      </x:c>
      <x:c r="I725" s="128" t="n">
        <x:f>D725/SUMIF($C$4:$C$802,C725,$D$4:$D$802)</x:f>
        <x:v>0.015325651791817205</x:v>
      </x:c>
      <x:c r="J725" s="103" t="n">
        <x:f>(D725/SUMIF($A$4:$A$802,A725,$D$4:$D$802))/(SUMIF($C$4:$C$802,C725,$D$4:$D$802)/SUM($D$4:$D$802))</x:f>
        <x:v>1.086275516258006</x:v>
      </x:c>
    </x:row>
    <x:row r="726">
      <x:c r="A726" s="101" t="str">
        <x:v>熊本県</x:v>
      </x:c>
      <x:c r="B726" s="101" t="str">
        <x:v>J</x:v>
      </x:c>
      <x:c r="C726" s="101" t="str">
        <x:v>金融業，保険業</x:v>
      </x:c>
      <x:c r="D726" s="102" t="n">
        <x:v>1198</x:v>
      </x:c>
      <x:c r="E726" s="102" t="n">
        <x:f>1+COUNTIFS($C$4:$C$802,C726,$D$4:$D$802,"&gt;"&amp;D726)</x:f>
        <x:v>24</x:v>
      </x:c>
      <x:c r="F726" s="102" t="n">
        <x:v>1738301</x:v>
      </x:c>
      <x:c r="G726" s="126" t="n">
        <x:f>D726/F726*100000</x:f>
        <x:v>68.91786865450804</x:v>
      </x:c>
      <x:c r="H726" s="127" t="n">
        <x:f>1+COUNTIFS($C$4:$C$802,C726,$G$4:$G$802,"&gt;"&amp;G726)</x:f>
        <x:v>34</x:v>
      </x:c>
      <x:c r="I726" s="128" t="n">
        <x:f>D726/SUMIF($C$4:$C$802,C726,$D$4:$D$802)</x:f>
        <x:v>0.014287077231312312</x:v>
      </x:c>
      <x:c r="J726" s="103" t="n">
        <x:f>(D726/SUMIF($A$4:$A$802,A726,$D$4:$D$802))/(SUMIF($C$4:$C$802,C726,$D$4:$D$802)/SUM($D$4:$D$802))</x:f>
        <x:v>1.0126618042795539</x:v>
      </x:c>
    </x:row>
    <x:row r="727">
      <x:c r="A727" s="101" t="str">
        <x:v>熊本県</x:v>
      </x:c>
      <x:c r="B727" s="101" t="str">
        <x:v>K</x:v>
      </x:c>
      <x:c r="C727" s="101" t="str">
        <x:v>不動産業，物品賃貸業</x:v>
      </x:c>
      <x:c r="D727" s="102" t="n">
        <x:v>4337</x:v>
      </x:c>
      <x:c r="E727" s="102" t="n">
        <x:f>1+COUNTIFS($C$4:$C$802,C727,$D$4:$D$802,"&gt;"&amp;D727)</x:f>
        <x:v>23</x:v>
      </x:c>
      <x:c r="F727" s="102" t="n">
        <x:v>1738301</x:v>
      </x:c>
      <x:c r="G727" s="126" t="n">
        <x:f>D727/F727*100000</x:f>
        <x:v>249.49649111402454</x:v>
      </x:c>
      <x:c r="H727" s="127" t="n">
        <x:f>1+COUNTIFS($C$4:$C$802,C727,$G$4:$G$802,"&gt;"&amp;G727)</x:f>
        <x:v>26</x:v>
      </x:c>
      <x:c r="I727" s="128" t="n">
        <x:f>D727/SUMIF($C$4:$C$802,C727,$D$4:$D$802)</x:f>
        <x:v>0.01158213515072532</x:v>
      </x:c>
      <x:c r="J727" s="103" t="n">
        <x:f>(D727/SUMIF($A$4:$A$802,A727,$D$4:$D$802))/(SUMIF($C$4:$C$802,C727,$D$4:$D$802)/SUM($D$4:$D$802))</x:f>
        <x:v>0.8209366890967535</x:v>
      </x:c>
    </x:row>
    <x:row r="728">
      <x:c r="A728" s="101" t="str">
        <x:v>熊本県</x:v>
      </x:c>
      <x:c r="B728" s="101" t="str">
        <x:v>L</x:v>
      </x:c>
      <x:c r="C728" s="101" t="str">
        <x:v>学術研究，専門・技術サービス業</x:v>
      </x:c>
      <x:c r="D728" s="102" t="n">
        <x:v>3345</x:v>
      </x:c>
      <x:c r="E728" s="102" t="n">
        <x:f>1+COUNTIFS($C$4:$C$802,C728,$D$4:$D$802,"&gt;"&amp;D728)</x:f>
        <x:v>19</x:v>
      </x:c>
      <x:c r="F728" s="102" t="n">
        <x:v>1738301</x:v>
      </x:c>
      <x:c r="G728" s="126" t="n">
        <x:f>D728/F728*100000</x:f>
        <x:v>192.42927433166065</x:v>
      </x:c>
      <x:c r="H728" s="127" t="n">
        <x:f>1+COUNTIFS($C$4:$C$802,C728,$G$4:$G$802,"&gt;"&amp;G728)</x:f>
        <x:v>13</x:v>
      </x:c>
      <x:c r="I728" s="128" t="n">
        <x:f>D728/SUMIF($C$4:$C$802,C728,$D$4:$D$802)</x:f>
        <x:v>0.013255924546247126</x:v>
      </x:c>
      <x:c r="J728" s="103" t="n">
        <x:f>(D728/SUMIF($A$4:$A$802,A728,$D$4:$D$802))/(SUMIF($C$4:$C$802,C728,$D$4:$D$802)/SUM($D$4:$D$802))</x:f>
        <x:v>0.9395741515959612</x:v>
      </x:c>
    </x:row>
    <x:row r="729">
      <x:c r="A729" s="101" t="str">
        <x:v>熊本県</x:v>
      </x:c>
      <x:c r="B729" s="101" t="str">
        <x:v>M</x:v>
      </x:c>
      <x:c r="C729" s="101" t="str">
        <x:v>宿泊業，飲食サービス業</x:v>
      </x:c>
      <x:c r="D729" s="102" t="n">
        <x:v>8033</x:v>
      </x:c>
      <x:c r="E729" s="102" t="n">
        <x:f>1+COUNTIFS($C$4:$C$802,C729,$D$4:$D$802,"&gt;"&amp;D729)</x:f>
        <x:v>23</x:v>
      </x:c>
      <x:c r="F729" s="102" t="n">
        <x:v>1738301</x:v>
      </x:c>
      <x:c r="G729" s="126" t="n">
        <x:f>D729/F729*100000</x:f>
        <x:v>462.11789557734824</x:v>
      </x:c>
      <x:c r="H729" s="127" t="n">
        <x:f>1+COUNTIFS($C$4:$C$802,C729,$G$4:$G$802,"&gt;"&amp;G729)</x:f>
        <x:v>35</x:v>
      </x:c>
      <x:c r="I729" s="128" t="n">
        <x:f>D729/SUMIF($C$4:$C$802,C729,$D$4:$D$802)</x:f>
        <x:v>0.01340938606946239</x:v>
      </x:c>
      <x:c r="J729" s="103" t="n">
        <x:f>(D729/SUMIF($A$4:$A$802,A729,$D$4:$D$802))/(SUMIF($C$4:$C$802,C729,$D$4:$D$802)/SUM($D$4:$D$802))</x:f>
        <x:v>0.9504514374446065</x:v>
      </x:c>
    </x:row>
    <x:row r="730">
      <x:c r="A730" s="101" t="str">
        <x:v>熊本県</x:v>
      </x:c>
      <x:c r="B730" s="101" t="str">
        <x:v>N</x:v>
      </x:c>
      <x:c r="C730" s="101" t="str">
        <x:v>生活関連サービス業，娯楽業</x:v>
      </x:c>
      <x:c r="D730" s="102" t="n">
        <x:v>6590</x:v>
      </x:c>
      <x:c r="E730" s="102" t="n">
        <x:f>1+COUNTIFS($C$4:$C$802,C730,$D$4:$D$802,"&gt;"&amp;D730)</x:f>
        <x:v>23</x:v>
      </x:c>
      <x:c r="F730" s="102" t="n">
        <x:v>1738301</x:v>
      </x:c>
      <x:c r="G730" s="126" t="n">
        <x:f>D730/F730*100000</x:f>
        <x:v>379.10580503606684</x:v>
      </x:c>
      <x:c r="H730" s="127" t="n">
        <x:f>1+COUNTIFS($C$4:$C$802,C730,$G$4:$G$802,"&gt;"&amp;G730)</x:f>
        <x:v>30</x:v>
      </x:c>
      <x:c r="I730" s="128" t="n">
        <x:f>D730/SUMIF($C$4:$C$802,C730,$D$4:$D$802)</x:f>
        <x:v>0.015177023046505254</x:v>
      </x:c>
      <x:c r="J730" s="103" t="n">
        <x:f>(D730/SUMIF($A$4:$A$802,A730,$D$4:$D$802))/(SUMIF($C$4:$C$802,C730,$D$4:$D$802)/SUM($D$4:$D$802))</x:f>
        <x:v>1.075740775599816</x:v>
      </x:c>
    </x:row>
    <x:row r="731">
      <x:c r="A731" s="101" t="str">
        <x:v>熊本県</x:v>
      </x:c>
      <x:c r="B731" s="101" t="str">
        <x:v>O</x:v>
      </x:c>
      <x:c r="C731" s="101" t="str">
        <x:v>教育，学習支援業</x:v>
      </x:c>
      <x:c r="D731" s="102" t="n">
        <x:v>2001</x:v>
      </x:c>
      <x:c r="E731" s="102" t="n">
        <x:f>1+COUNTIFS($C$4:$C$802,C731,$D$4:$D$802,"&gt;"&amp;D731)</x:f>
        <x:v>24</x:v>
      </x:c>
      <x:c r="F731" s="102" t="n">
        <x:v>1738301</x:v>
      </x:c>
      <x:c r="G731" s="126" t="n">
        <x:f>D731/F731*100000</x:f>
        <x:v>115.11239998136111</x:v>
      </x:c>
      <x:c r="H731" s="127" t="n">
        <x:f>1+COUNTIFS($C$4:$C$802,C731,$G$4:$G$802,"&gt;"&amp;G731)</x:f>
        <x:v>40</x:v>
      </x:c>
      <x:c r="I731" s="128" t="n">
        <x:f>D731/SUMIF($C$4:$C$802,C731,$D$4:$D$802)</x:f>
        <x:v>0.012249245517486242</x:v>
      </x:c>
      <x:c r="J731" s="103" t="n">
        <x:f>(D731/SUMIF($A$4:$A$802,A731,$D$4:$D$802))/(SUMIF($C$4:$C$802,C731,$D$4:$D$802)/SUM($D$4:$D$802))</x:f>
        <x:v>0.8682211809994868</x:v>
      </x:c>
    </x:row>
    <x:row r="732">
      <x:c r="A732" s="101" t="str">
        <x:v>熊本県</x:v>
      </x:c>
      <x:c r="B732" s="101" t="str">
        <x:v>P</x:v>
      </x:c>
      <x:c r="C732" s="101" t="str">
        <x:v>医療，福祉</x:v>
      </x:c>
      <x:c r="D732" s="102" t="n">
        <x:v>7063</x:v>
      </x:c>
      <x:c r="E732" s="102" t="n">
        <x:f>1+COUNTIFS($C$4:$C$802,C732,$D$4:$D$802,"&gt;"&amp;D732)</x:f>
        <x:v>20</x:v>
      </x:c>
      <x:c r="F732" s="102" t="n">
        <x:v>1738301</x:v>
      </x:c>
      <x:c r="G732" s="126" t="n">
        <x:f>D732/F732*100000</x:f>
        <x:v>406.3162823929802</x:v>
      </x:c>
      <x:c r="H732" s="127" t="n">
        <x:f>1+COUNTIFS($C$4:$C$802,C732,$G$4:$G$802,"&gt;"&amp;G732)</x:f>
        <x:v>16</x:v>
      </x:c>
      <x:c r="I732" s="128" t="n">
        <x:f>D732/SUMIF($C$4:$C$802,C732,$D$4:$D$802)</x:f>
        <x:v>0.015270327826675402</x:v>
      </x:c>
      <x:c r="J732" s="103" t="n">
        <x:f>(D732/SUMIF($A$4:$A$802,A732,$D$4:$D$802))/(SUMIF($C$4:$C$802,C732,$D$4:$D$802)/SUM($D$4:$D$802))</x:f>
        <x:v>1.0823541777327539</x:v>
      </x:c>
    </x:row>
    <x:row r="733">
      <x:c r="A733" s="101" t="str">
        <x:v>熊本県</x:v>
      </x:c>
      <x:c r="B733" s="101" t="str">
        <x:v>Q</x:v>
      </x:c>
      <x:c r="C733" s="101" t="str">
        <x:v>複合サービス事業</x:v>
      </x:c>
      <x:c r="D733" s="102" t="n">
        <x:v>736</x:v>
      </x:c>
      <x:c r="E733" s="102" t="n">
        <x:f>1+COUNTIFS($C$4:$C$802,C733,$D$4:$D$802,"&gt;"&amp;D733)</x:f>
        <x:v>15</x:v>
      </x:c>
      <x:c r="F733" s="102" t="n">
        <x:v>1738301</x:v>
      </x:c>
      <x:c r="G733" s="126" t="n">
        <x:f>D733/F733*100000</x:f>
        <x:v>42.34019309659259</x:v>
      </x:c>
      <x:c r="H733" s="127" t="n">
        <x:f>1+COUNTIFS($C$4:$C$802,C733,$G$4:$G$802,"&gt;"&amp;G733)</x:f>
        <x:v>14</x:v>
      </x:c>
      <x:c r="I733" s="128" t="n">
        <x:f>D733/SUMIF($C$4:$C$802,C733,$D$4:$D$802)</x:f>
        <x:v>0.02290622763063708</x:v>
      </x:c>
      <x:c r="J733" s="103" t="n">
        <x:f>(D733/SUMIF($A$4:$A$802,A733,$D$4:$D$802))/(SUMIF($C$4:$C$802,C733,$D$4:$D$802)/SUM($D$4:$D$802))</x:f>
        <x:v>1.6235834262056736</x:v>
      </x:c>
    </x:row>
    <x:row r="734">
      <x:c r="A734" s="101" t="str">
        <x:v>熊本県</x:v>
      </x:c>
      <x:c r="B734" s="101" t="str">
        <x:v>R</x:v>
      </x:c>
      <x:c r="C734" s="101" t="str">
        <x:v>サービス業（他に分類されないもの）</x:v>
      </x:c>
      <x:c r="D734" s="102" t="n">
        <x:v>5639</x:v>
      </x:c>
      <x:c r="E734" s="102" t="n">
        <x:f>1+COUNTIFS($C$4:$C$802,C734,$D$4:$D$802,"&gt;"&amp;D734)</x:f>
        <x:v>22</x:v>
      </x:c>
      <x:c r="F734" s="102" t="n">
        <x:v>1738301</x:v>
      </x:c>
      <x:c r="G734" s="126" t="n">
        <x:f>D734/F734*100000</x:f>
        <x:v>324.3972131408772</x:v>
      </x:c>
      <x:c r="H734" s="127" t="n">
        <x:f>1+COUNTIFS($C$4:$C$802,C734,$G$4:$G$802,"&gt;"&amp;G734)</x:f>
        <x:v>27</x:v>
      </x:c>
      <x:c r="I734" s="128" t="n">
        <x:f>D734/SUMIF($C$4:$C$802,C734,$D$4:$D$802)</x:f>
        <x:v>0.015273068047625755</x:v>
      </x:c>
      <x:c r="J734" s="103" t="n">
        <x:f>(D734/SUMIF($A$4:$A$802,A734,$D$4:$D$802))/(SUMIF($C$4:$C$802,C734,$D$4:$D$802)/SUM($D$4:$D$802))</x:f>
        <x:v>1.0825484033988424</x:v>
      </x:c>
    </x:row>
    <x:row r="735">
      <x:c r="A735" s="101" t="str">
        <x:v>大分県</x:v>
      </x:c>
      <x:c r="B735" s="101" t="str">
        <x:v>AB</x:v>
      </x:c>
      <x:c r="C735" s="101" t="str">
        <x:v>農林漁業</x:v>
      </x:c>
      <x:c r="D735" s="102" t="n">
        <x:v>959</x:v>
      </x:c>
      <x:c r="E735" s="102" t="n">
        <x:f>1+COUNTIFS($C$4:$C$802,C735,$D$4:$D$802,"&gt;"&amp;D735)</x:f>
        <x:v>14</x:v>
      </x:c>
      <x:c r="F735" s="102" t="n">
        <x:v>1123852</x:v>
      </x:c>
      <x:c r="G735" s="126" t="n">
        <x:f>D735/F735*100000</x:f>
        <x:v>85.33152052049557</x:v>
      </x:c>
      <x:c r="H735" s="127" t="n">
        <x:f>1+COUNTIFS($C$4:$C$802,C735,$G$4:$G$802,"&gt;"&amp;G735)</x:f>
        <x:v>7</x:v>
      </x:c>
      <x:c r="I735" s="128" t="n">
        <x:f>D735/SUMIF($C$4:$C$802,C735,$D$4:$D$802)</x:f>
        <x:v>0.022587027179801215</x:v>
      </x:c>
      <x:c r="J735" s="103" t="n">
        <x:f>(D735/SUMIF($A$4:$A$802,A735,$D$4:$D$802))/(SUMIF($C$4:$C$802,C735,$D$4:$D$802)/SUM($D$4:$D$802))</x:f>
        <x:v>2.302084151134978</x:v>
      </x:c>
    </x:row>
    <x:row r="736">
      <x:c r="A736" s="101" t="str">
        <x:v>大分県</x:v>
      </x:c>
      <x:c r="B736" s="101" t="str">
        <x:v>C</x:v>
      </x:c>
      <x:c r="C736" s="101" t="str">
        <x:v>鉱業，採石業，砂利採取業</x:v>
      </x:c>
      <x:c r="D736" s="102" t="n">
        <x:v>29</x:v>
      </x:c>
      <x:c r="E736" s="102" t="n">
        <x:f>1+COUNTIFS($C$4:$C$802,C736,$D$4:$D$802,"&gt;"&amp;D736)</x:f>
        <x:v>25</x:v>
      </x:c>
      <x:c r="F736" s="102" t="n">
        <x:v>1123852</x:v>
      </x:c>
      <x:c r="G736" s="126" t="n">
        <x:f>D736/F736*100000</x:f>
        <x:v>2.5804109437897518</x:v>
      </x:c>
      <x:c r="H736" s="127" t="n">
        <x:f>1+COUNTIFS($C$4:$C$802,C736,$G$4:$G$802,"&gt;"&amp;G736)</x:f>
        <x:v>17</x:v>
      </x:c>
      <x:c r="I736" s="128" t="n">
        <x:f>D736/SUMIF($C$4:$C$802,C736,$D$4:$D$802)</x:f>
        <x:v>0.015549597855227882</x:v>
      </x:c>
      <x:c r="J736" s="103" t="n">
        <x:f>(D736/SUMIF($A$4:$A$802,A736,$D$4:$D$802))/(SUMIF($C$4:$C$802,C736,$D$4:$D$802)/SUM($D$4:$D$802))</x:f>
        <x:v>1.5848248861653689</x:v>
      </x:c>
    </x:row>
    <x:row r="737">
      <x:c r="A737" s="101" t="str">
        <x:v>大分県</x:v>
      </x:c>
      <x:c r="B737" s="101" t="str">
        <x:v>D</x:v>
      </x:c>
      <x:c r="C737" s="101" t="str">
        <x:v>建設業</x:v>
      </x:c>
      <x:c r="D737" s="102" t="n">
        <x:v>4899</x:v>
      </x:c>
      <x:c r="E737" s="102" t="n">
        <x:f>1+COUNTIFS($C$4:$C$802,C737,$D$4:$D$802,"&gt;"&amp;D737)</x:f>
        <x:v>34</x:v>
      </x:c>
      <x:c r="F737" s="102" t="n">
        <x:v>1123852</x:v>
      </x:c>
      <x:c r="G737" s="126" t="n">
        <x:f>D737/F737*100000</x:f>
        <x:v>435.9114901250342</x:v>
      </x:c>
      <x:c r="H737" s="127" t="n">
        <x:f>1+COUNTIFS($C$4:$C$802,C737,$G$4:$G$802,"&gt;"&amp;G737)</x:f>
        <x:v>26</x:v>
      </x:c>
      <x:c r="I737" s="128" t="n">
        <x:f>D737/SUMIF($C$4:$C$802,C737,$D$4:$D$802)</x:f>
        <x:v>0.01009822008306966</x:v>
      </x:c>
      <x:c r="J737" s="103" t="n">
        <x:f>(D737/SUMIF($A$4:$A$802,A737,$D$4:$D$802))/(SUMIF($C$4:$C$802,C737,$D$4:$D$802)/SUM($D$4:$D$802))</x:f>
        <x:v>1.0292170024347664</x:v>
      </x:c>
    </x:row>
    <x:row r="738">
      <x:c r="A738" s="101" t="str">
        <x:v>大分県</x:v>
      </x:c>
      <x:c r="B738" s="101" t="str">
        <x:v>E</x:v>
      </x:c>
      <x:c r="C738" s="101" t="str">
        <x:v>製造業</x:v>
      </x:c>
      <x:c r="D738" s="102" t="n">
        <x:v>2832</x:v>
      </x:c>
      <x:c r="E738" s="102" t="n">
        <x:f>1+COUNTIFS($C$4:$C$802,C738,$D$4:$D$802,"&gt;"&amp;D738)</x:f>
        <x:v>39</x:v>
      </x:c>
      <x:c r="F738" s="102" t="n">
        <x:v>1123852</x:v>
      </x:c>
      <x:c r="G738" s="126" t="n">
        <x:f>D738/F738*100000</x:f>
        <x:v>251.9904756142268</x:v>
      </x:c>
      <x:c r="H738" s="127" t="n">
        <x:f>1+COUNTIFS($C$4:$C$802,C738,$G$4:$G$802,"&gt;"&amp;G738)</x:f>
        <x:v>38</x:v>
      </x:c>
      <x:c r="I738" s="128" t="n">
        <x:f>D738/SUMIF($C$4:$C$802,C738,$D$4:$D$802)</x:f>
        <x:v>0.006863507805058929</x:v>
      </x:c>
      <x:c r="J738" s="103" t="n">
        <x:f>(D738/SUMIF($A$4:$A$802,A738,$D$4:$D$802))/(SUMIF($C$4:$C$802,C738,$D$4:$D$802)/SUM($D$4:$D$802))</x:f>
        <x:v>0.6995330732743393</x:v>
      </x:c>
    </x:row>
    <x:row r="739">
      <x:c r="A739" s="101" t="str">
        <x:v>大分県</x:v>
      </x:c>
      <x:c r="B739" s="101" t="str">
        <x:v>F</x:v>
      </x:c>
      <x:c r="C739" s="101" t="str">
        <x:v>電気・ガス・熱供給・水道業</x:v>
      </x:c>
      <x:c r="D739" s="102" t="n">
        <x:v>175</x:v>
      </x:c>
      <x:c r="E739" s="102" t="n">
        <x:f>1+COUNTIFS($C$4:$C$802,C739,$D$4:$D$802,"&gt;"&amp;D739)</x:f>
        <x:v>22</x:v>
      </x:c>
      <x:c r="F739" s="102" t="n">
        <x:v>1123852</x:v>
      </x:c>
      <x:c r="G739" s="126" t="n">
        <x:f>D739/F739*100000</x:f>
        <x:v>15.571445350455397</x:v>
      </x:c>
      <x:c r="H739" s="127" t="n">
        <x:f>1+COUNTIFS($C$4:$C$802,C739,$G$4:$G$802,"&gt;"&amp;G739)</x:f>
        <x:v>4</x:v>
      </x:c>
      <x:c r="I739" s="128" t="n">
        <x:f>D739/SUMIF($C$4:$C$802,C739,$D$4:$D$802)</x:f>
        <x:v>0.019148703359229673</x:v>
      </x:c>
      <x:c r="J739" s="103" t="n">
        <x:f>(D739/SUMIF($A$4:$A$802,A739,$D$4:$D$802))/(SUMIF($C$4:$C$802,C739,$D$4:$D$802)/SUM($D$4:$D$802))</x:f>
        <x:v>1.9516480042795834</x:v>
      </x:c>
    </x:row>
    <x:row r="740">
      <x:c r="A740" s="101" t="str">
        <x:v>大分県</x:v>
      </x:c>
      <x:c r="B740" s="101" t="str">
        <x:v>G</x:v>
      </x:c>
      <x:c r="C740" s="101" t="str">
        <x:v>情報通信業</x:v>
      </x:c>
      <x:c r="D740" s="102" t="n">
        <x:v>394</x:v>
      </x:c>
      <x:c r="E740" s="102" t="n">
        <x:f>1+COUNTIFS($C$4:$C$802,C740,$D$4:$D$802,"&gt;"&amp;D740)</x:f>
        <x:v>32</x:v>
      </x:c>
      <x:c r="F740" s="102" t="n">
        <x:v>1123852</x:v>
      </x:c>
      <x:c r="G740" s="126" t="n">
        <x:f>D740/F740*100000</x:f>
        <x:v>35.05799696045387</x:v>
      </x:c>
      <x:c r="H740" s="127" t="n">
        <x:f>1+COUNTIFS($C$4:$C$802,C740,$G$4:$G$802,"&gt;"&amp;G740)</x:f>
        <x:v>25</x:v>
      </x:c>
      <x:c r="I740" s="128" t="n">
        <x:f>D740/SUMIF($C$4:$C$802,C740,$D$4:$D$802)</x:f>
        <x:v>0.005146357711046382</x:v>
      </x:c>
      <x:c r="J740" s="103" t="n">
        <x:f>(D740/SUMIF($A$4:$A$802,A740,$D$4:$D$802))/(SUMIF($C$4:$C$802,C740,$D$4:$D$802)/SUM($D$4:$D$802))</x:f>
        <x:v>0.5245200454385527</x:v>
      </x:c>
    </x:row>
    <x:row r="741">
      <x:c r="A741" s="101" t="str">
        <x:v>大分県</x:v>
      </x:c>
      <x:c r="B741" s="101" t="str">
        <x:v>H</x:v>
      </x:c>
      <x:c r="C741" s="101" t="str">
        <x:v>運輸業，郵便業</x:v>
      </x:c>
      <x:c r="D741" s="102" t="n">
        <x:v>1069</x:v>
      </x:c>
      <x:c r="E741" s="102" t="n">
        <x:f>1+COUNTIFS($C$4:$C$802,C741,$D$4:$D$802,"&gt;"&amp;D741)</x:f>
        <x:v>34</x:v>
      </x:c>
      <x:c r="F741" s="102" t="n">
        <x:v>1123852</x:v>
      </x:c>
      <x:c r="G741" s="126" t="n">
        <x:f>D741/F741*100000</x:f>
        <x:v>95.11928616935326</x:v>
      </x:c>
      <x:c r="H741" s="127" t="n">
        <x:f>1+COUNTIFS($C$4:$C$802,C741,$G$4:$G$802,"&gt;"&amp;G741)</x:f>
        <x:v>34</x:v>
      </x:c>
      <x:c r="I741" s="128" t="n">
        <x:f>D741/SUMIF($C$4:$C$802,C741,$D$4:$D$802)</x:f>
        <x:v>0.008336972797604193</x:v>
      </x:c>
      <x:c r="J741" s="103" t="n">
        <x:f>(D741/SUMIF($A$4:$A$802,A741,$D$4:$D$802))/(SUMIF($C$4:$C$802,C741,$D$4:$D$802)/SUM($D$4:$D$802))</x:f>
        <x:v>0.8497095608478813</x:v>
      </x:c>
    </x:row>
    <x:row r="742">
      <x:c r="A742" s="101" t="str">
        <x:v>大分県</x:v>
      </x:c>
      <x:c r="B742" s="101" t="str">
        <x:v>I</x:v>
      </x:c>
      <x:c r="C742" s="101" t="str">
        <x:v>卸売業，小売業</x:v>
      </x:c>
      <x:c r="D742" s="102" t="n">
        <x:v>12606</x:v>
      </x:c>
      <x:c r="E742" s="102" t="n">
        <x:f>1+COUNTIFS($C$4:$C$802,C742,$D$4:$D$802,"&gt;"&amp;D742)</x:f>
        <x:v>33</x:v>
      </x:c>
      <x:c r="F742" s="102" t="n">
        <x:v>1123852</x:v>
      </x:c>
      <x:c r="G742" s="126" t="n">
        <x:f>D742/F742*100000</x:f>
        <x:v>1121.67794335909</x:v>
      </x:c>
      <x:c r="H742" s="127" t="n">
        <x:f>1+COUNTIFS($C$4:$C$802,C742,$G$4:$G$802,"&gt;"&amp;G742)</x:f>
        <x:v>20</x:v>
      </x:c>
      <x:c r="I742" s="128" t="n">
        <x:f>D742/SUMIF($C$4:$C$802,C742,$D$4:$D$802)</x:f>
        <x:v>0.010257787325456498</x:v>
      </x:c>
      <x:c r="J742" s="103" t="n">
        <x:f>(D742/SUMIF($A$4:$A$802,A742,$D$4:$D$802))/(SUMIF($C$4:$C$802,C742,$D$4:$D$802)/SUM($D$4:$D$802))</x:f>
        <x:v>1.0454801970913679</x:v>
      </x:c>
    </x:row>
    <x:row r="743">
      <x:c r="A743" s="101" t="str">
        <x:v>大分県</x:v>
      </x:c>
      <x:c r="B743" s="101" t="str">
        <x:v>J</x:v>
      </x:c>
      <x:c r="C743" s="101" t="str">
        <x:v>金融業，保険業</x:v>
      </x:c>
      <x:c r="D743" s="102" t="n">
        <x:v>851</x:v>
      </x:c>
      <x:c r="E743" s="102" t="n">
        <x:f>1+COUNTIFS($C$4:$C$802,C743,$D$4:$D$802,"&gt;"&amp;D743)</x:f>
        <x:v>34</x:v>
      </x:c>
      <x:c r="F743" s="102" t="n">
        <x:v>1123852</x:v>
      </x:c>
      <x:c r="G743" s="126" t="n">
        <x:f>D743/F743*100000</x:f>
        <x:v>75.72171424707167</x:v>
      </x:c>
      <x:c r="H743" s="127" t="n">
        <x:f>1+COUNTIFS($C$4:$C$802,C743,$G$4:$G$802,"&gt;"&amp;G743)</x:f>
        <x:v>23</x:v>
      </x:c>
      <x:c r="I743" s="128" t="n">
        <x:f>D743/SUMIF($C$4:$C$802,C743,$D$4:$D$802)</x:f>
        <x:v>0.010148833659304489</x:v>
      </x:c>
      <x:c r="J743" s="103" t="n">
        <x:f>(D743/SUMIF($A$4:$A$802,A743,$D$4:$D$802))/(SUMIF($C$4:$C$802,C743,$D$4:$D$802)/SUM($D$4:$D$802))</x:f>
        <x:v>1.0343755702602244</x:v>
      </x:c>
    </x:row>
    <x:row r="744">
      <x:c r="A744" s="101" t="str">
        <x:v>大分県</x:v>
      </x:c>
      <x:c r="B744" s="101" t="str">
        <x:v>K</x:v>
      </x:c>
      <x:c r="C744" s="101" t="str">
        <x:v>不動産業，物品賃貸業</x:v>
      </x:c>
      <x:c r="D744" s="102" t="n">
        <x:v>2911</x:v>
      </x:c>
      <x:c r="E744" s="102" t="n">
        <x:f>1+COUNTIFS($C$4:$C$802,C744,$D$4:$D$802,"&gt;"&amp;D744)</x:f>
        <x:v>35</x:v>
      </x:c>
      <x:c r="F744" s="102" t="n">
        <x:v>1123852</x:v>
      </x:c>
      <x:c r="G744" s="126" t="n">
        <x:f>D744/F744*100000</x:f>
        <x:v>259.0198709438609</x:v>
      </x:c>
      <x:c r="H744" s="127" t="n">
        <x:f>1+COUNTIFS($C$4:$C$802,C744,$G$4:$G$802,"&gt;"&amp;G744)</x:f>
        <x:v>23</x:v>
      </x:c>
      <x:c r="I744" s="128" t="n">
        <x:f>D744/SUMIF($C$4:$C$802,C744,$D$4:$D$802)</x:f>
        <x:v>0.0077739440681949285</x:v>
      </x:c>
      <x:c r="J744" s="103" t="n">
        <x:f>(D744/SUMIF($A$4:$A$802,A744,$D$4:$D$802))/(SUMIF($C$4:$C$802,C744,$D$4:$D$802)/SUM($D$4:$D$802))</x:f>
        <x:v>0.7923253152679307</x:v>
      </x:c>
    </x:row>
    <x:row r="745">
      <x:c r="A745" s="101" t="str">
        <x:v>大分県</x:v>
      </x:c>
      <x:c r="B745" s="101" t="str">
        <x:v>L</x:v>
      </x:c>
      <x:c r="C745" s="101" t="str">
        <x:v>学術研究，専門・技術サービス業</x:v>
      </x:c>
      <x:c r="D745" s="102" t="n">
        <x:v>2056</x:v>
      </x:c>
      <x:c r="E745" s="102" t="n">
        <x:f>1+COUNTIFS($C$4:$C$802,C745,$D$4:$D$802,"&gt;"&amp;D745)</x:f>
        <x:v>31</x:v>
      </x:c>
      <x:c r="F745" s="102" t="n">
        <x:v>1123852</x:v>
      </x:c>
      <x:c r="G745" s="126" t="n">
        <x:f>D745/F745*100000</x:f>
        <x:v>182.9422379459217</x:v>
      </x:c>
      <x:c r="H745" s="127" t="n">
        <x:f>1+COUNTIFS($C$4:$C$802,C745,$G$4:$G$802,"&gt;"&amp;G745)</x:f>
        <x:v>23</x:v>
      </x:c>
      <x:c r="I745" s="128" t="n">
        <x:f>D745/SUMIF($C$4:$C$802,C745,$D$4:$D$802)</x:f>
        <x:v>0.008147737179995245</x:v>
      </x:c>
      <x:c r="J745" s="103" t="n">
        <x:f>(D745/SUMIF($A$4:$A$802,A745,$D$4:$D$802))/(SUMIF($C$4:$C$802,C745,$D$4:$D$802)/SUM($D$4:$D$802))</x:f>
        <x:v>0.8304225465515788</x:v>
      </x:c>
    </x:row>
    <x:row r="746">
      <x:c r="A746" s="101" t="str">
        <x:v>大分県</x:v>
      </x:c>
      <x:c r="B746" s="101" t="str">
        <x:v>M</x:v>
      </x:c>
      <x:c r="C746" s="101" t="str">
        <x:v>宿泊業，飲食サービス業</x:v>
      </x:c>
      <x:c r="D746" s="102" t="n">
        <x:v>6296</x:v>
      </x:c>
      <x:c r="E746" s="102" t="n">
        <x:f>1+COUNTIFS($C$4:$C$802,C746,$D$4:$D$802,"&gt;"&amp;D746)</x:f>
        <x:v>31</x:v>
      </x:c>
      <x:c r="F746" s="102" t="n">
        <x:v>1123852</x:v>
      </x:c>
      <x:c r="G746" s="126" t="n">
        <x:f>D746/F746*100000</x:f>
        <x:v>560.2161138655267</x:v>
      </x:c>
      <x:c r="H746" s="127" t="n">
        <x:f>1+COUNTIFS($C$4:$C$802,C746,$G$4:$G$802,"&gt;"&amp;G746)</x:f>
        <x:v>10</x:v>
      </x:c>
      <x:c r="I746" s="128" t="n">
        <x:f>D746/SUMIF($C$4:$C$802,C746,$D$4:$D$802)</x:f>
        <x:v>0.010509833772355932</x:v>
      </x:c>
      <x:c r="J746" s="103" t="n">
        <x:f>(D746/SUMIF($A$4:$A$802,A746,$D$4:$D$802))/(SUMIF($C$4:$C$802,C746,$D$4:$D$802)/SUM($D$4:$D$802))</x:f>
        <x:v>1.0711689309888481</x:v>
      </x:c>
    </x:row>
    <x:row r="747">
      <x:c r="A747" s="101" t="str">
        <x:v>大分県</x:v>
      </x:c>
      <x:c r="B747" s="101" t="str">
        <x:v>N</x:v>
      </x:c>
      <x:c r="C747" s="101" t="str">
        <x:v>生活関連サービス業，娯楽業</x:v>
      </x:c>
      <x:c r="D747" s="102" t="n">
        <x:v>4627</x:v>
      </x:c>
      <x:c r="E747" s="102" t="n">
        <x:f>1+COUNTIFS($C$4:$C$802,C747,$D$4:$D$802,"&gt;"&amp;D747)</x:f>
        <x:v>35</x:v>
      </x:c>
      <x:c r="F747" s="102" t="n">
        <x:v>1123852</x:v>
      </x:c>
      <x:c r="G747" s="126" t="n">
        <x:f>D747/F747*100000</x:f>
        <x:v>411.7090150660407</x:v>
      </x:c>
      <x:c r="H747" s="127" t="n">
        <x:f>1+COUNTIFS($C$4:$C$802,C747,$G$4:$G$802,"&gt;"&amp;G747)</x:f>
        <x:v>18</x:v>
      </x:c>
      <x:c r="I747" s="128" t="n">
        <x:f>D747/SUMIF($C$4:$C$802,C747,$D$4:$D$802)</x:f>
        <x:v>0.010656158670133507</x:v>
      </x:c>
      <x:c r="J747" s="103" t="n">
        <x:f>(D747/SUMIF($A$4:$A$802,A747,$D$4:$D$802))/(SUMIF($C$4:$C$802,C747,$D$4:$D$802)/SUM($D$4:$D$802))</x:f>
        <x:v>1.0860824574750358</x:v>
      </x:c>
    </x:row>
    <x:row r="748">
      <x:c r="A748" s="101" t="str">
        <x:v>大分県</x:v>
      </x:c>
      <x:c r="B748" s="101" t="str">
        <x:v>O</x:v>
      </x:c>
      <x:c r="C748" s="101" t="str">
        <x:v>教育，学習支援業</x:v>
      </x:c>
      <x:c r="D748" s="102" t="n">
        <x:v>1311</x:v>
      </x:c>
      <x:c r="E748" s="102" t="n">
        <x:f>1+COUNTIFS($C$4:$C$802,C748,$D$4:$D$802,"&gt;"&amp;D748)</x:f>
        <x:v>38</x:v>
      </x:c>
      <x:c r="F748" s="102" t="n">
        <x:v>1123852</x:v>
      </x:c>
      <x:c r="G748" s="126" t="n">
        <x:f>D748/F748*100000</x:f>
        <x:v>116.65237059684016</x:v>
      </x:c>
      <x:c r="H748" s="127" t="n">
        <x:f>1+COUNTIFS($C$4:$C$802,C748,$G$4:$G$802,"&gt;"&amp;G748)</x:f>
        <x:v>38</x:v>
      </x:c>
      <x:c r="I748" s="128" t="n">
        <x:f>D748/SUMIF($C$4:$C$802,C748,$D$4:$D$802)</x:f>
        <x:v>0.008025367752835813</x:v>
      </x:c>
      <x:c r="J748" s="103" t="n">
        <x:f>(D748/SUMIF($A$4:$A$802,A748,$D$4:$D$802))/(SUMIF($C$4:$C$802,C748,$D$4:$D$802)/SUM($D$4:$D$802))</x:f>
        <x:v>0.8179505768406152</x:v>
      </x:c>
    </x:row>
    <x:row r="749">
      <x:c r="A749" s="101" t="str">
        <x:v>大分県</x:v>
      </x:c>
      <x:c r="B749" s="101" t="str">
        <x:v>P</x:v>
      </x:c>
      <x:c r="C749" s="101" t="str">
        <x:v>医療，福祉</x:v>
      </x:c>
      <x:c r="D749" s="102" t="n">
        <x:v>4691</x:v>
      </x:c>
      <x:c r="E749" s="102" t="n">
        <x:f>1+COUNTIFS($C$4:$C$802,C749,$D$4:$D$802,"&gt;"&amp;D749)</x:f>
        <x:v>34</x:v>
      </x:c>
      <x:c r="F749" s="102" t="n">
        <x:v>1123852</x:v>
      </x:c>
      <x:c r="G749" s="126" t="n">
        <x:f>D749/F749*100000</x:f>
        <x:v>417.40371507992154</x:v>
      </x:c>
      <x:c r="H749" s="127" t="n">
        <x:f>1+COUNTIFS($C$4:$C$802,C749,$G$4:$G$802,"&gt;"&amp;G749)</x:f>
        <x:v>10</x:v>
      </x:c>
      <x:c r="I749" s="128" t="n">
        <x:f>D749/SUMIF($C$4:$C$802,C749,$D$4:$D$802)</x:f>
        <x:v>0.010142022913058801</x:v>
      </x:c>
      <x:c r="J749" s="103" t="n">
        <x:f>(D749/SUMIF($A$4:$A$802,A749,$D$4:$D$802))/(SUMIF($C$4:$C$802,C749,$D$4:$D$802)/SUM($D$4:$D$802))</x:f>
        <x:v>1.0336814146785802</x:v>
      </x:c>
    </x:row>
    <x:row r="750">
      <x:c r="A750" s="101" t="str">
        <x:v>大分県</x:v>
      </x:c>
      <x:c r="B750" s="101" t="str">
        <x:v>Q</x:v>
      </x:c>
      <x:c r="C750" s="101" t="str">
        <x:v>複合サービス事業</x:v>
      </x:c>
      <x:c r="D750" s="102" t="n">
        <x:v>480</x:v>
      </x:c>
      <x:c r="E750" s="102" t="n">
        <x:f>1+COUNTIFS($C$4:$C$802,C750,$D$4:$D$802,"&gt;"&amp;D750)</x:f>
        <x:v>30</x:v>
      </x:c>
      <x:c r="F750" s="102" t="n">
        <x:v>1123852</x:v>
      </x:c>
      <x:c r="G750" s="126" t="n">
        <x:f>D750/F750*100000</x:f>
        <x:v>42.71025010410623</x:v>
      </x:c>
      <x:c r="H750" s="127" t="n">
        <x:f>1+COUNTIFS($C$4:$C$802,C750,$G$4:$G$802,"&gt;"&amp;G750)</x:f>
        <x:v>12</x:v>
      </x:c>
      <x:c r="I750" s="128" t="n">
        <x:f>D750/SUMIF($C$4:$C$802,C750,$D$4:$D$802)</x:f>
        <x:v>0.014938844106937226</x:v>
      </x:c>
      <x:c r="J750" s="103" t="n">
        <x:f>(D750/SUMIF($A$4:$A$802,A750,$D$4:$D$802))/(SUMIF($C$4:$C$802,C750,$D$4:$D$802)/SUM($D$4:$D$802))</x:f>
        <x:v>1.5225764763594274</x:v>
      </x:c>
    </x:row>
    <x:row r="751">
      <x:c r="A751" s="101" t="str">
        <x:v>大分県</x:v>
      </x:c>
      <x:c r="B751" s="101" t="str">
        <x:v>R</x:v>
      </x:c>
      <x:c r="C751" s="101" t="str">
        <x:v>サービス業（他に分類されないもの）</x:v>
      </x:c>
      <x:c r="D751" s="102" t="n">
        <x:v>4403</x:v>
      </x:c>
      <x:c r="E751" s="102" t="n">
        <x:f>1+COUNTIFS($C$4:$C$802,C751,$D$4:$D$802,"&gt;"&amp;D751)</x:f>
        <x:v>30</x:v>
      </x:c>
      <x:c r="F751" s="102" t="n">
        <x:v>1123852</x:v>
      </x:c>
      <x:c r="G751" s="126" t="n">
        <x:f>D751/F751*100000</x:f>
        <x:v>391.77756501745785</x:v>
      </x:c>
      <x:c r="H751" s="127" t="n">
        <x:f>1+COUNTIFS($C$4:$C$802,C751,$G$4:$G$802,"&gt;"&amp;G751)</x:f>
        <x:v>7</x:v>
      </x:c>
      <x:c r="I751" s="128" t="n">
        <x:f>D751/SUMIF($C$4:$C$802,C751,$D$4:$D$802)</x:f>
        <x:v>0.011925397874391949</x:v>
      </x:c>
      <x:c r="J751" s="103" t="n">
        <x:f>(D751/SUMIF($A$4:$A$802,A751,$D$4:$D$802))/(SUMIF($C$4:$C$802,C751,$D$4:$D$802)/SUM($D$4:$D$802))</x:f>
        <x:v>1.2154441230392177</x:v>
      </x:c>
    </x:row>
    <x:row r="752">
      <x:c r="A752" s="101" t="str">
        <x:v>宮崎県</x:v>
      </x:c>
      <x:c r="B752" s="101" t="str">
        <x:v>AB</x:v>
      </x:c>
      <x:c r="C752" s="101" t="str">
        <x:v>農林漁業</x:v>
      </x:c>
      <x:c r="D752" s="102" t="n">
        <x:v>1329</x:v>
      </x:c>
      <x:c r="E752" s="102" t="n">
        <x:f>1+COUNTIFS($C$4:$C$802,C752,$D$4:$D$802,"&gt;"&amp;D752)</x:f>
        <x:v>5</x:v>
      </x:c>
      <x:c r="F752" s="102" t="n">
        <x:v>1069576</x:v>
      </x:c>
      <x:c r="G752" s="126" t="n">
        <x:f>D752/F752*100000</x:f>
        <x:v>124.25484491050659</x:v>
      </x:c>
      <x:c r="H752" s="127" t="n">
        <x:f>1+COUNTIFS($C$4:$C$802,C752,$G$4:$G$802,"&gt;"&amp;G752)</x:f>
        <x:v>1</x:v>
      </x:c>
      <x:c r="I752" s="128" t="n">
        <x:f>D752/SUMIF($C$4:$C$802,C752,$D$4:$D$802)</x:f>
        <x:v>0.03130152150360356</x:v>
      </x:c>
      <x:c r="J752" s="103" t="n">
        <x:f>(D752/SUMIF($A$4:$A$802,A752,$D$4:$D$802))/(SUMIF($C$4:$C$802,C752,$D$4:$D$802)/SUM($D$4:$D$802))</x:f>
        <x:v>3.2977649544020164</x:v>
      </x:c>
    </x:row>
    <x:row r="753">
      <x:c r="A753" s="101" t="str">
        <x:v>宮崎県</x:v>
      </x:c>
      <x:c r="B753" s="101" t="str">
        <x:v>C</x:v>
      </x:c>
      <x:c r="C753" s="101" t="str">
        <x:v>鉱業，採石業，砂利採取業</x:v>
      </x:c>
      <x:c r="D753" s="102" t="n">
        <x:v>12</x:v>
      </x:c>
      <x:c r="E753" s="102" t="n">
        <x:f>1+COUNTIFS($C$4:$C$802,C753,$D$4:$D$802,"&gt;"&amp;D753)</x:f>
        <x:v>44</x:v>
      </x:c>
      <x:c r="F753" s="102" t="n">
        <x:v>1069576</x:v>
      </x:c>
      <x:c r="G753" s="126" t="n">
        <x:f>D753/F753*100000</x:f>
        <x:v>1.1219399088984794</x:v>
      </x:c>
      <x:c r="H753" s="127" t="n">
        <x:f>1+COUNTIFS($C$4:$C$802,C753,$G$4:$G$802,"&gt;"&amp;G753)</x:f>
        <x:v>35</x:v>
      </x:c>
      <x:c r="I753" s="128" t="n">
        <x:f>D753/SUMIF($C$4:$C$802,C753,$D$4:$D$802)</x:f>
        <x:v>0.006434316353887399</x:v>
      </x:c>
      <x:c r="J753" s="103" t="n">
        <x:f>(D753/SUMIF($A$4:$A$802,A753,$D$4:$D$802))/(SUMIF($C$4:$C$802,C753,$D$4:$D$802)/SUM($D$4:$D$802))</x:f>
        <x:v>0.6778859926966433</x:v>
      </x:c>
    </x:row>
    <x:row r="754">
      <x:c r="A754" s="101" t="str">
        <x:v>宮崎県</x:v>
      </x:c>
      <x:c r="B754" s="101" t="str">
        <x:v>D</x:v>
      </x:c>
      <x:c r="C754" s="101" t="str">
        <x:v>建設業</x:v>
      </x:c>
      <x:c r="D754" s="102" t="n">
        <x:v>4860</x:v>
      </x:c>
      <x:c r="E754" s="102" t="n">
        <x:f>1+COUNTIFS($C$4:$C$802,C754,$D$4:$D$802,"&gt;"&amp;D754)</x:f>
        <x:v>35</x:v>
      </x:c>
      <x:c r="F754" s="102" t="n">
        <x:v>1069576</x:v>
      </x:c>
      <x:c r="G754" s="126" t="n">
        <x:f>D754/F754*100000</x:f>
        <x:v>454.38566310388416</x:v>
      </x:c>
      <x:c r="H754" s="127" t="n">
        <x:f>1+COUNTIFS($C$4:$C$802,C754,$G$4:$G$802,"&gt;"&amp;G754)</x:f>
        <x:v>16</x:v>
      </x:c>
      <x:c r="I754" s="128" t="n">
        <x:f>D754/SUMIF($C$4:$C$802,C754,$D$4:$D$802)</x:f>
        <x:v>0.010017830088532059</x:v>
      </x:c>
      <x:c r="J754" s="103" t="n">
        <x:f>(D754/SUMIF($A$4:$A$802,A754,$D$4:$D$802))/(SUMIF($C$4:$C$802,C754,$D$4:$D$802)/SUM($D$4:$D$802))</x:f>
        <x:v>1.0554262987283791</x:v>
      </x:c>
    </x:row>
    <x:row r="755">
      <x:c r="A755" s="101" t="str">
        <x:v>宮崎県</x:v>
      </x:c>
      <x:c r="B755" s="101" t="str">
        <x:v>E</x:v>
      </x:c>
      <x:c r="C755" s="101" t="str">
        <x:v>製造業</x:v>
      </x:c>
      <x:c r="D755" s="102" t="n">
        <x:v>2795</x:v>
      </x:c>
      <x:c r="E755" s="102" t="n">
        <x:f>1+COUNTIFS($C$4:$C$802,C755,$D$4:$D$802,"&gt;"&amp;D755)</x:f>
        <x:v>40</x:v>
      </x:c>
      <x:c r="F755" s="102" t="n">
        <x:v>1069576</x:v>
      </x:c>
      <x:c r="G755" s="126" t="n">
        <x:f>D755/F755*100000</x:f>
        <x:v>261.31850378093753</x:v>
      </x:c>
      <x:c r="H755" s="127" t="n">
        <x:f>1+COUNTIFS($C$4:$C$802,C755,$G$4:$G$802,"&gt;"&amp;G755)</x:f>
        <x:v>37</x:v>
      </x:c>
      <x:c r="I755" s="128" t="n">
        <x:f>D755/SUMIF($C$4:$C$802,C755,$D$4:$D$802)</x:f>
        <x:v>0.006773836269470235</x:v>
      </x:c>
      <x:c r="J755" s="103" t="n">
        <x:f>(D755/SUMIF($A$4:$A$802,A755,$D$4:$D$802))/(SUMIF($C$4:$C$802,C755,$D$4:$D$802)/SUM($D$4:$D$802))</x:f>
        <x:v>0.7136560391719148</x:v>
      </x:c>
    </x:row>
    <x:row r="756">
      <x:c r="A756" s="101" t="str">
        <x:v>宮崎県</x:v>
      </x:c>
      <x:c r="B756" s="101" t="str">
        <x:v>F</x:v>
      </x:c>
      <x:c r="C756" s="101" t="str">
        <x:v>電気・ガス・熱供給・水道業</x:v>
      </x:c>
      <x:c r="D756" s="102" t="n">
        <x:v>151</x:v>
      </x:c>
      <x:c r="E756" s="102" t="n">
        <x:f>1+COUNTIFS($C$4:$C$802,C756,$D$4:$D$802,"&gt;"&amp;D756)</x:f>
        <x:v>23</x:v>
      </x:c>
      <x:c r="F756" s="102" t="n">
        <x:v>1069576</x:v>
      </x:c>
      <x:c r="G756" s="126" t="n">
        <x:f>D756/F756*100000</x:f>
        <x:v>14.1177438536392</x:v>
      </x:c>
      <x:c r="H756" s="127" t="n">
        <x:f>1+COUNTIFS($C$4:$C$802,C756,$G$4:$G$802,"&gt;"&amp;G756)</x:f>
        <x:v>7</x:v>
      </x:c>
      <x:c r="I756" s="128" t="n">
        <x:f>D756/SUMIF($C$4:$C$802,C756,$D$4:$D$802)</x:f>
        <x:v>0.016522595469963892</x:v>
      </x:c>
      <x:c r="J756" s="103" t="n">
        <x:f>(D756/SUMIF($A$4:$A$802,A756,$D$4:$D$802))/(SUMIF($C$4:$C$802,C756,$D$4:$D$802)/SUM($D$4:$D$802))</x:f>
        <x:v>1.7407344333193386</x:v>
      </x:c>
    </x:row>
    <x:row r="757">
      <x:c r="A757" s="101" t="str">
        <x:v>宮崎県</x:v>
      </x:c>
      <x:c r="B757" s="101" t="str">
        <x:v>G</x:v>
      </x:c>
      <x:c r="C757" s="101" t="str">
        <x:v>情報通信業</x:v>
      </x:c>
      <x:c r="D757" s="102" t="n">
        <x:v>347</x:v>
      </x:c>
      <x:c r="E757" s="102" t="n">
        <x:f>1+COUNTIFS($C$4:$C$802,C757,$D$4:$D$802,"&gt;"&amp;D757)</x:f>
        <x:v>36</x:v>
      </x:c>
      <x:c r="F757" s="102" t="n">
        <x:v>1069576</x:v>
      </x:c>
      <x:c r="G757" s="126" t="n">
        <x:f>D757/F757*100000</x:f>
        <x:v>32.442762365647695</x:v>
      </x:c>
      <x:c r="H757" s="127" t="n">
        <x:f>1+COUNTIFS($C$4:$C$802,C757,$G$4:$G$802,"&gt;"&amp;G757)</x:f>
        <x:v>29</x:v>
      </x:c>
      <x:c r="I757" s="128" t="n">
        <x:f>D757/SUMIF($C$4:$C$802,C757,$D$4:$D$802)</x:f>
        <x:v>0.004532452095769276</x:v>
      </x:c>
      <x:c r="J757" s="103" t="n">
        <x:f>(D757/SUMIF($A$4:$A$802,A757,$D$4:$D$802))/(SUMIF($C$4:$C$802,C757,$D$4:$D$802)/SUM($D$4:$D$802))</x:f>
        <x:v>0.477515499596821</x:v>
      </x:c>
    </x:row>
    <x:row r="758">
      <x:c r="A758" s="101" t="str">
        <x:v>宮崎県</x:v>
      </x:c>
      <x:c r="B758" s="101" t="str">
        <x:v>H</x:v>
      </x:c>
      <x:c r="C758" s="101" t="str">
        <x:v>運輸業，郵便業</x:v>
      </x:c>
      <x:c r="D758" s="102" t="n">
        <x:v>892</x:v>
      </x:c>
      <x:c r="E758" s="102" t="n">
        <x:f>1+COUNTIFS($C$4:$C$802,C758,$D$4:$D$802,"&gt;"&amp;D758)</x:f>
        <x:v>38</x:v>
      </x:c>
      <x:c r="F758" s="102" t="n">
        <x:v>1069576</x:v>
      </x:c>
      <x:c r="G758" s="126" t="n">
        <x:f>D758/F758*100000</x:f>
        <x:v>83.39753322812031</x:v>
      </x:c>
      <x:c r="H758" s="127" t="n">
        <x:f>1+COUNTIFS($C$4:$C$802,C758,$G$4:$G$802,"&gt;"&amp;G758)</x:f>
        <x:v>44</x:v>
      </x:c>
      <x:c r="I758" s="128" t="n">
        <x:f>D758/SUMIF($C$4:$C$802,C758,$D$4:$D$802)</x:f>
        <x:v>0.006956575992013976</x:v>
      </x:c>
      <x:c r="J758" s="103" t="n">
        <x:f>(D758/SUMIF($A$4:$A$802,A758,$D$4:$D$802))/(SUMIF($C$4:$C$802,C758,$D$4:$D$802)/SUM($D$4:$D$802))</x:f>
        <x:v>0.7329085426871997</x:v>
      </x:c>
    </x:row>
    <x:row r="759">
      <x:c r="A759" s="101" t="str">
        <x:v>宮崎県</x:v>
      </x:c>
      <x:c r="B759" s="101" t="str">
        <x:v>I</x:v>
      </x:c>
      <x:c r="C759" s="101" t="str">
        <x:v>卸売業，小売業</x:v>
      </x:c>
      <x:c r="D759" s="102" t="n">
        <x:v>12268</x:v>
      </x:c>
      <x:c r="E759" s="102" t="n">
        <x:f>1+COUNTIFS($C$4:$C$802,C759,$D$4:$D$802,"&gt;"&amp;D759)</x:f>
        <x:v>35</x:v>
      </x:c>
      <x:c r="F759" s="102" t="n">
        <x:v>1069576</x:v>
      </x:c>
      <x:c r="G759" s="126" t="n">
        <x:f>D759/F759*100000</x:f>
        <x:v>1146.9965668638788</x:v>
      </x:c>
      <x:c r="H759" s="127" t="n">
        <x:f>1+COUNTIFS($C$4:$C$802,C759,$G$4:$G$802,"&gt;"&amp;G759)</x:f>
        <x:v>15</x:v>
      </x:c>
      <x:c r="I759" s="128" t="n">
        <x:f>D759/SUMIF($C$4:$C$802,C759,$D$4:$D$802)</x:f>
        <x:v>0.009982749080493441</x:v>
      </x:c>
      <x:c r="J759" s="103" t="n">
        <x:f>(D759/SUMIF($A$4:$A$802,A759,$D$4:$D$802))/(SUMIF($C$4:$C$802,C759,$D$4:$D$802)/SUM($D$4:$D$802))</x:f>
        <x:v>1.051730346796409</x:v>
      </x:c>
    </x:row>
    <x:row r="760">
      <x:c r="A760" s="101" t="str">
        <x:v>宮崎県</x:v>
      </x:c>
      <x:c r="B760" s="101" t="str">
        <x:v>J</x:v>
      </x:c>
      <x:c r="C760" s="101" t="str">
        <x:v>金融業，保険業</x:v>
      </x:c>
      <x:c r="D760" s="102" t="n">
        <x:v>853</x:v>
      </x:c>
      <x:c r="E760" s="102" t="n">
        <x:f>1+COUNTIFS($C$4:$C$802,C760,$D$4:$D$802,"&gt;"&amp;D760)</x:f>
        <x:v>33</x:v>
      </x:c>
      <x:c r="F760" s="102" t="n">
        <x:v>1069576</x:v>
      </x:c>
      <x:c r="G760" s="126" t="n">
        <x:f>D760/F760*100000</x:f>
        <x:v>79.75122852420024</x:v>
      </x:c>
      <x:c r="H760" s="127" t="n">
        <x:f>1+COUNTIFS($C$4:$C$802,C760,$G$4:$G$802,"&gt;"&amp;G760)</x:f>
        <x:v>12</x:v>
      </x:c>
      <x:c r="I760" s="128" t="n">
        <x:f>D760/SUMIF($C$4:$C$802,C760,$D$4:$D$802)</x:f>
        <x:v>0.010172685207269952</x:v>
      </x:c>
      <x:c r="J760" s="103" t="n">
        <x:f>(D760/SUMIF($A$4:$A$802,A760,$D$4:$D$802))/(SUMIF($C$4:$C$802,C760,$D$4:$D$802)/SUM($D$4:$D$802))</x:f>
        <x:v>1.0717410259062512</x:v>
      </x:c>
    </x:row>
    <x:row r="761">
      <x:c r="A761" s="101" t="str">
        <x:v>宮崎県</x:v>
      </x:c>
      <x:c r="B761" s="101" t="str">
        <x:v>K</x:v>
      </x:c>
      <x:c r="C761" s="101" t="str">
        <x:v>不動産業，物品賃貸業</x:v>
      </x:c>
      <x:c r="D761" s="102" t="n">
        <x:v>2029</x:v>
      </x:c>
      <x:c r="E761" s="102" t="n">
        <x:f>1+COUNTIFS($C$4:$C$802,C761,$D$4:$D$802,"&gt;"&amp;D761)</x:f>
        <x:v>41</x:v>
      </x:c>
      <x:c r="F761" s="102" t="n">
        <x:v>1069576</x:v>
      </x:c>
      <x:c r="G761" s="126" t="n">
        <x:f>D761/F761*100000</x:f>
        <x:v>189.70133959625122</x:v>
      </x:c>
      <x:c r="H761" s="127" t="n">
        <x:f>1+COUNTIFS($C$4:$C$802,C761,$G$4:$G$802,"&gt;"&amp;G761)</x:f>
        <x:v>46</x:v>
      </x:c>
      <x:c r="I761" s="128" t="n">
        <x:f>D761/SUMIF($C$4:$C$802,C761,$D$4:$D$802)</x:f>
        <x:v>0.005418527143375991</x:v>
      </x:c>
      <x:c r="J761" s="103" t="n">
        <x:f>(D761/SUMIF($A$4:$A$802,A761,$D$4:$D$802))/(SUMIF($C$4:$C$802,C761,$D$4:$D$802)/SUM($D$4:$D$802))</x:f>
        <x:v>0.5708677425103523</x:v>
      </x:c>
    </x:row>
    <x:row r="762">
      <x:c r="A762" s="101" t="str">
        <x:v>宮崎県</x:v>
      </x:c>
      <x:c r="B762" s="101" t="str">
        <x:v>L</x:v>
      </x:c>
      <x:c r="C762" s="101" t="str">
        <x:v>学術研究，専門・技術サービス業</x:v>
      </x:c>
      <x:c r="D762" s="102" t="n">
        <x:v>2006</x:v>
      </x:c>
      <x:c r="E762" s="102" t="n">
        <x:f>1+COUNTIFS($C$4:$C$802,C762,$D$4:$D$802,"&gt;"&amp;D762)</x:f>
        <x:v>32</x:v>
      </x:c>
      <x:c r="F762" s="102" t="n">
        <x:v>1069576</x:v>
      </x:c>
      <x:c r="G762" s="126" t="n">
        <x:f>D762/F762*100000</x:f>
        <x:v>187.5509547708625</x:v>
      </x:c>
      <x:c r="H762" s="127" t="n">
        <x:f>1+COUNTIFS($C$4:$C$802,C762,$G$4:$G$802,"&gt;"&amp;G762)</x:f>
        <x:v>17</x:v>
      </x:c>
      <x:c r="I762" s="128" t="n">
        <x:f>D762/SUMIF($C$4:$C$802,C762,$D$4:$D$802)</x:f>
        <x:v>0.007949591820559562</x:v>
      </x:c>
      <x:c r="J762" s="103" t="n">
        <x:f>(D762/SUMIF($A$4:$A$802,A762,$D$4:$D$802))/(SUMIF($C$4:$C$802,C762,$D$4:$D$802)/SUM($D$4:$D$802))</x:f>
        <x:v>0.8375275081955416</x:v>
      </x:c>
    </x:row>
    <x:row r="763">
      <x:c r="A763" s="101" t="str">
        <x:v>宮崎県</x:v>
      </x:c>
      <x:c r="B763" s="101" t="str">
        <x:v>M</x:v>
      </x:c>
      <x:c r="C763" s="101" t="str">
        <x:v>宿泊業，飲食サービス業</x:v>
      </x:c>
      <x:c r="D763" s="102" t="n">
        <x:v>6509</x:v>
      </x:c>
      <x:c r="E763" s="102" t="n">
        <x:f>1+COUNTIFS($C$4:$C$802,C763,$D$4:$D$802,"&gt;"&amp;D763)</x:f>
        <x:v>29</x:v>
      </x:c>
      <x:c r="F763" s="102" t="n">
        <x:v>1069576</x:v>
      </x:c>
      <x:c r="G763" s="126" t="n">
        <x:f>D763/F763*100000</x:f>
        <x:v>608.5589055850169</x:v>
      </x:c>
      <x:c r="H763" s="127" t="n">
        <x:f>1+COUNTIFS($C$4:$C$802,C763,$G$4:$G$802,"&gt;"&amp;G763)</x:f>
        <x:v>6</x:v>
      </x:c>
      <x:c r="I763" s="128" t="n">
        <x:f>D763/SUMIF($C$4:$C$802,C763,$D$4:$D$802)</x:f>
        <x:v>0.010865391998771404</x:v>
      </x:c>
      <x:c r="J763" s="103" t="n">
        <x:f>(D763/SUMIF($A$4:$A$802,A763,$D$4:$D$802))/(SUMIF($C$4:$C$802,C763,$D$4:$D$802)/SUM($D$4:$D$802))</x:f>
        <x:v>1.1447209984748936</x:v>
      </x:c>
    </x:row>
    <x:row r="764">
      <x:c r="A764" s="101" t="str">
        <x:v>宮崎県</x:v>
      </x:c>
      <x:c r="B764" s="101" t="str">
        <x:v>N</x:v>
      </x:c>
      <x:c r="C764" s="101" t="str">
        <x:v>生活関連サービス業，娯楽業</x:v>
      </x:c>
      <x:c r="D764" s="102" t="n">
        <x:v>4815</x:v>
      </x:c>
      <x:c r="E764" s="102" t="n">
        <x:f>1+COUNTIFS($C$4:$C$802,C764,$D$4:$D$802,"&gt;"&amp;D764)</x:f>
        <x:v>33</x:v>
      </x:c>
      <x:c r="F764" s="102" t="n">
        <x:v>1069576</x:v>
      </x:c>
      <x:c r="G764" s="126" t="n">
        <x:f>D764/F764*100000</x:f>
        <x:v>450.1783884455148</x:v>
      </x:c>
      <x:c r="H764" s="127" t="n">
        <x:f>1+COUNTIFS($C$4:$C$802,C764,$G$4:$G$802,"&gt;"&amp;G764)</x:f>
        <x:v>6</x:v>
      </x:c>
      <x:c r="I764" s="128" t="n">
        <x:f>D764/SUMIF($C$4:$C$802,C764,$D$4:$D$802)</x:f>
        <x:v>0.011089129889062641</x:v>
      </x:c>
      <x:c r="J764" s="103" t="n">
        <x:f>(D764/SUMIF($A$4:$A$802,A764,$D$4:$D$802))/(SUMIF($C$4:$C$802,C764,$D$4:$D$802)/SUM($D$4:$D$802))</x:f>
        <x:v>1.1682928549895788</x:v>
      </x:c>
    </x:row>
    <x:row r="765">
      <x:c r="A765" s="101" t="str">
        <x:v>宮崎県</x:v>
      </x:c>
      <x:c r="B765" s="101" t="str">
        <x:v>O</x:v>
      </x:c>
      <x:c r="C765" s="101" t="str">
        <x:v>教育，学習支援業</x:v>
      </x:c>
      <x:c r="D765" s="102" t="n">
        <x:v>1474</x:v>
      </x:c>
      <x:c r="E765" s="102" t="n">
        <x:f>1+COUNTIFS($C$4:$C$802,C765,$D$4:$D$802,"&gt;"&amp;D765)</x:f>
        <x:v>34</x:v>
      </x:c>
      <x:c r="F765" s="102" t="n">
        <x:v>1069576</x:v>
      </x:c>
      <x:c r="G765" s="126" t="n">
        <x:f>D765/F765*100000</x:f>
        <x:v>137.81161880969654</x:v>
      </x:c>
      <x:c r="H765" s="127" t="n">
        <x:f>1+COUNTIFS($C$4:$C$802,C765,$G$4:$G$802,"&gt;"&amp;G765)</x:f>
        <x:v>15</x:v>
      </x:c>
      <x:c r="I765" s="128" t="n">
        <x:f>D765/SUMIF($C$4:$C$802,C765,$D$4:$D$802)</x:f>
        <x:v>0.009023182355209755</x:v>
      </x:c>
      <x:c r="J765" s="103" t="n">
        <x:f>(D765/SUMIF($A$4:$A$802,A765,$D$4:$D$802))/(SUMIF($C$4:$C$802,C765,$D$4:$D$802)/SUM($D$4:$D$802))</x:f>
        <x:v>0.950635404249078</x:v>
      </x:c>
    </x:row>
    <x:row r="766">
      <x:c r="A766" s="101" t="str">
        <x:v>宮崎県</x:v>
      </x:c>
      <x:c r="B766" s="101" t="str">
        <x:v>P</x:v>
      </x:c>
      <x:c r="C766" s="101" t="str">
        <x:v>医療，福祉</x:v>
      </x:c>
      <x:c r="D766" s="102" t="n">
        <x:v>4794</x:v>
      </x:c>
      <x:c r="E766" s="102" t="n">
        <x:f>1+COUNTIFS($C$4:$C$802,C766,$D$4:$D$802,"&gt;"&amp;D766)</x:f>
        <x:v>31</x:v>
      </x:c>
      <x:c r="F766" s="102" t="n">
        <x:v>1069576</x:v>
      </x:c>
      <x:c r="G766" s="126" t="n">
        <x:f>D766/F766*100000</x:f>
        <x:v>448.2149936049425</x:v>
      </x:c>
      <x:c r="H766" s="127" t="n">
        <x:f>1+COUNTIFS($C$4:$C$802,C766,$G$4:$G$802,"&gt;"&amp;G766)</x:f>
        <x:v>4</x:v>
      </x:c>
      <x:c r="I766" s="128" t="n">
        <x:f>D766/SUMIF($C$4:$C$802,C766,$D$4:$D$802)</x:f>
        <x:v>0.010364710689661882</x:v>
      </x:c>
      <x:c r="J766" s="103" t="n">
        <x:f>(D766/SUMIF($A$4:$A$802,A766,$D$4:$D$802))/(SUMIF($C$4:$C$802,C766,$D$4:$D$802)/SUM($D$4:$D$802))</x:f>
        <x:v>1.0919718286201494</x:v>
      </x:c>
    </x:row>
    <x:row r="767">
      <x:c r="A767" s="101" t="str">
        <x:v>宮崎県</x:v>
      </x:c>
      <x:c r="B767" s="101" t="str">
        <x:v>Q</x:v>
      </x:c>
      <x:c r="C767" s="101" t="str">
        <x:v>複合サービス事業</x:v>
      </x:c>
      <x:c r="D767" s="102" t="n">
        <x:v>413</x:v>
      </x:c>
      <x:c r="E767" s="102" t="n">
        <x:f>1+COUNTIFS($C$4:$C$802,C767,$D$4:$D$802,"&gt;"&amp;D767)</x:f>
        <x:v>37</x:v>
      </x:c>
      <x:c r="F767" s="102" t="n">
        <x:v>1069576</x:v>
      </x:c>
      <x:c r="G767" s="126" t="n">
        <x:f>D767/F767*100000</x:f>
        <x:v>38.61343186458933</x:v>
      </x:c>
      <x:c r="H767" s="127" t="n">
        <x:f>1+COUNTIFS($C$4:$C$802,C767,$G$4:$G$802,"&gt;"&amp;G767)</x:f>
        <x:v>22</x:v>
      </x:c>
      <x:c r="I767" s="128" t="n">
        <x:f>D767/SUMIF($C$4:$C$802,C767,$D$4:$D$802)</x:f>
        <x:v>0.012853630450343904</x:v>
      </x:c>
      <x:c r="J767" s="103" t="n">
        <x:f>(D767/SUMIF($A$4:$A$802,A767,$D$4:$D$802))/(SUMIF($C$4:$C$802,C767,$D$4:$D$802)/SUM($D$4:$D$802))</x:f>
        <x:v>1.3541914258416743</x:v>
      </x:c>
    </x:row>
    <x:row r="768">
      <x:c r="A768" s="101" t="str">
        <x:v>宮崎県</x:v>
      </x:c>
      <x:c r="B768" s="101" t="str">
        <x:v>R</x:v>
      </x:c>
      <x:c r="C768" s="101" t="str">
        <x:v>サービス業（他に分類されないもの）</x:v>
      </x:c>
      <x:c r="D768" s="102" t="n">
        <x:v>3393</x:v>
      </x:c>
      <x:c r="E768" s="102" t="n">
        <x:f>1+COUNTIFS($C$4:$C$802,C768,$D$4:$D$802,"&gt;"&amp;D768)</x:f>
        <x:v>40</x:v>
      </x:c>
      <x:c r="F768" s="102" t="n">
        <x:v>1069576</x:v>
      </x:c>
      <x:c r="G768" s="126" t="n">
        <x:f>D768/F768*100000</x:f>
        <x:v>317.22850924104506</x:v>
      </x:c>
      <x:c r="H768" s="127" t="n">
        <x:f>1+COUNTIFS($C$4:$C$802,C768,$G$4:$G$802,"&gt;"&amp;G768)</x:f>
        <x:v>28</x:v>
      </x:c>
      <x:c r="I768" s="128" t="n">
        <x:f>D768/SUMIF($C$4:$C$802,C768,$D$4:$D$802)</x:f>
        <x:v>0.009189842150309307</x:v>
      </x:c>
      <x:c r="J768" s="103" t="n">
        <x:f>(D768/SUMIF($A$4:$A$802,A768,$D$4:$D$802))/(SUMIF($C$4:$C$802,C768,$D$4:$D$802)/SUM($D$4:$D$802))</x:f>
        <x:v>0.9681938105241165</x:v>
      </x:c>
    </x:row>
    <x:row r="769">
      <x:c r="A769" s="101" t="str">
        <x:v>鹿児島県</x:v>
      </x:c>
      <x:c r="B769" s="101" t="str">
        <x:v>AB</x:v>
      </x:c>
      <x:c r="C769" s="101" t="str">
        <x:v>農林漁業</x:v>
      </x:c>
      <x:c r="D769" s="102" t="n">
        <x:v>1839</x:v>
      </x:c>
      <x:c r="E769" s="102" t="n">
        <x:f>1+COUNTIFS($C$4:$C$802,C769,$D$4:$D$802,"&gt;"&amp;D769)</x:f>
        <x:v>2</x:v>
      </x:c>
      <x:c r="F769" s="102" t="n">
        <x:v>1588256</x:v>
      </x:c>
      <x:c r="G769" s="126" t="n">
        <x:f>D769/F769*100000</x:f>
        <x:v>115.7873793645357</x:v>
      </x:c>
      <x:c r="H769" s="127" t="n">
        <x:f>1+COUNTIFS($C$4:$C$802,C769,$G$4:$G$802,"&gt;"&amp;G769)</x:f>
        <x:v>2</x:v>
      </x:c>
      <x:c r="I769" s="128" t="n">
        <x:f>D769/SUMIF($C$4:$C$802,C769,$D$4:$D$802)</x:f>
        <x:v>0.04331339205803382</x:v>
      </x:c>
      <x:c r="J769" s="103" t="n">
        <x:f>(D769/SUMIF($A$4:$A$802,A769,$D$4:$D$802))/(SUMIF($C$4:$C$802,C769,$D$4:$D$802)/SUM($D$4:$D$802))</x:f>
        <x:v>3.1107012967130787</x:v>
      </x:c>
    </x:row>
    <x:row r="770">
      <x:c r="A770" s="101" t="str">
        <x:v>鹿児島県</x:v>
      </x:c>
      <x:c r="B770" s="101" t="str">
        <x:v>C</x:v>
      </x:c>
      <x:c r="C770" s="101" t="str">
        <x:v>鉱業，採石業，砂利採取業</x:v>
      </x:c>
      <x:c r="D770" s="102" t="n">
        <x:v>53</x:v>
      </x:c>
      <x:c r="E770" s="102" t="n">
        <x:f>1+COUNTIFS($C$4:$C$802,C770,$D$4:$D$802,"&gt;"&amp;D770)</x:f>
        <x:v>13</x:v>
      </x:c>
      <x:c r="F770" s="102" t="n">
        <x:v>1588256</x:v>
      </x:c>
      <x:c r="G770" s="126" t="n">
        <x:f>D770/F770*100000</x:f>
        <x:v>3.336993532528761</x:v>
      </x:c>
      <x:c r="H770" s="127" t="n">
        <x:f>1+COUNTIFS($C$4:$C$802,C770,$G$4:$G$802,"&gt;"&amp;G770)</x:f>
        <x:v>11</x:v>
      </x:c>
      <x:c r="I770" s="128" t="n">
        <x:f>D770/SUMIF($C$4:$C$802,C770,$D$4:$D$802)</x:f>
        <x:v>0.028418230563002682</x:v>
      </x:c>
      <x:c r="J770" s="103" t="n">
        <x:f>(D770/SUMIF($A$4:$A$802,A770,$D$4:$D$802))/(SUMIF($C$4:$C$802,C770,$D$4:$D$802)/SUM($D$4:$D$802))</x:f>
        <x:v>2.0409536741934073</x:v>
      </x:c>
    </x:row>
    <x:row r="771">
      <x:c r="A771" s="101" t="str">
        <x:v>鹿児島県</x:v>
      </x:c>
      <x:c r="B771" s="101" t="str">
        <x:v>D</x:v>
      </x:c>
      <x:c r="C771" s="101" t="str">
        <x:v>建設業</x:v>
      </x:c>
      <x:c r="D771" s="102" t="n">
        <x:v>6442</x:v>
      </x:c>
      <x:c r="E771" s="102" t="n">
        <x:f>1+COUNTIFS($C$4:$C$802,C771,$D$4:$D$802,"&gt;"&amp;D771)</x:f>
        <x:v>24</x:v>
      </x:c>
      <x:c r="F771" s="102" t="n">
        <x:v>1588256</x:v>
      </x:c>
      <x:c r="G771" s="126" t="n">
        <x:f>D771/F771*100000</x:f>
        <x:v>405.60211955755244</x:v>
      </x:c>
      <x:c r="H771" s="127" t="n">
        <x:f>1+COUNTIFS($C$4:$C$802,C771,$G$4:$G$802,"&gt;"&amp;G771)</x:f>
        <x:v>34</x:v>
      </x:c>
      <x:c r="I771" s="128" t="n">
        <x:f>D771/SUMIF($C$4:$C$802,C771,$D$4:$D$802)</x:f>
        <x:v>0.013278778072083029</x:v>
      </x:c>
      <x:c r="J771" s="103" t="n">
        <x:f>(D771/SUMIF($A$4:$A$802,A771,$D$4:$D$802))/(SUMIF($C$4:$C$802,C771,$D$4:$D$802)/SUM($D$4:$D$802))</x:f>
        <x:v>0.9536614475321916</x:v>
      </x:c>
    </x:row>
    <x:row r="772">
      <x:c r="A772" s="101" t="str">
        <x:v>鹿児島県</x:v>
      </x:c>
      <x:c r="B772" s="101" t="str">
        <x:v>E</x:v>
      </x:c>
      <x:c r="C772" s="101" t="str">
        <x:v>製造業</x:v>
      </x:c>
      <x:c r="D772" s="102" t="n">
        <x:v>4529</x:v>
      </x:c>
      <x:c r="E772" s="102" t="n">
        <x:f>1+COUNTIFS($C$4:$C$802,C772,$D$4:$D$802,"&gt;"&amp;D772)</x:f>
        <x:v>27</x:v>
      </x:c>
      <x:c r="F772" s="102" t="n">
        <x:v>1588256</x:v>
      </x:c>
      <x:c r="G772" s="126" t="n">
        <x:f>D772/F772*100000</x:f>
        <x:v>285.1555416759011</x:v>
      </x:c>
      <x:c r="H772" s="127" t="n">
        <x:f>1+COUNTIFS($C$4:$C$802,C772,$G$4:$G$802,"&gt;"&amp;G772)</x:f>
        <x:v>33</x:v>
      </x:c>
      <x:c r="I772" s="128" t="n">
        <x:f>D772/SUMIF($C$4:$C$802,C772,$D$4:$D$802)</x:f>
        <x:v>0.010976280667059283</x:v>
      </x:c>
      <x:c r="J772" s="103" t="n">
        <x:f>(D772/SUMIF($A$4:$A$802,A772,$D$4:$D$802))/(SUMIF($C$4:$C$802,C772,$D$4:$D$802)/SUM($D$4:$D$802))</x:f>
        <x:v>0.7882996200888621</x:v>
      </x:c>
    </x:row>
    <x:row r="773">
      <x:c r="A773" s="101" t="str">
        <x:v>鹿児島県</x:v>
      </x:c>
      <x:c r="B773" s="101" t="str">
        <x:v>F</x:v>
      </x:c>
      <x:c r="C773" s="101" t="str">
        <x:v>電気・ガス・熱供給・水道業</x:v>
      </x:c>
      <x:c r="D773" s="102" t="n">
        <x:v>259</x:v>
      </x:c>
      <x:c r="E773" s="102" t="n">
        <x:f>1+COUNTIFS($C$4:$C$802,C773,$D$4:$D$802,"&gt;"&amp;D773)</x:f>
        <x:v>12</x:v>
      </x:c>
      <x:c r="F773" s="102" t="n">
        <x:v>1588256</x:v>
      </x:c>
      <x:c r="G773" s="126" t="n">
        <x:f>D773/F773*100000</x:f>
        <x:v>16.3071948099047</x:v>
      </x:c>
      <x:c r="H773" s="127" t="n">
        <x:f>1+COUNTIFS($C$4:$C$802,C773,$G$4:$G$802,"&gt;"&amp;G773)</x:f>
        <x:v>2</x:v>
      </x:c>
      <x:c r="I773" s="128" t="n">
        <x:f>D773/SUMIF($C$4:$C$802,C773,$D$4:$D$802)</x:f>
        <x:v>0.02834008097165992</x:v>
      </x:c>
      <x:c r="J773" s="103" t="n">
        <x:f>(D773/SUMIF($A$4:$A$802,A773,$D$4:$D$802))/(SUMIF($C$4:$C$802,C773,$D$4:$D$802)/SUM($D$4:$D$802))</x:f>
        <x:v>2.035341090565651</x:v>
      </x:c>
    </x:row>
    <x:row r="774">
      <x:c r="A774" s="101" t="str">
        <x:v>鹿児島県</x:v>
      </x:c>
      <x:c r="B774" s="101" t="str">
        <x:v>G</x:v>
      </x:c>
      <x:c r="C774" s="101" t="str">
        <x:v>情報通信業</x:v>
      </x:c>
      <x:c r="D774" s="102" t="n">
        <x:v>492</x:v>
      </x:c>
      <x:c r="E774" s="102" t="n">
        <x:f>1+COUNTIFS($C$4:$C$802,C774,$D$4:$D$802,"&gt;"&amp;D774)</x:f>
        <x:v>26</x:v>
      </x:c>
      <x:c r="F774" s="102" t="n">
        <x:v>1588256</x:v>
      </x:c>
      <x:c r="G774" s="126" t="n">
        <x:f>D774/F774*100000</x:f>
        <x:v>30.97737392460661</x:v>
      </x:c>
      <x:c r="H774" s="127" t="n">
        <x:f>1+COUNTIFS($C$4:$C$802,C774,$G$4:$G$802,"&gt;"&amp;G774)</x:f>
        <x:v>34</x:v>
      </x:c>
      <x:c r="I774" s="128" t="n">
        <x:f>D774/SUMIF($C$4:$C$802,C774,$D$4:$D$802)</x:f>
        <x:v>0.006426416228007158</x:v>
      </x:c>
      <x:c r="J774" s="103" t="n">
        <x:f>(D774/SUMIF($A$4:$A$802,A774,$D$4:$D$802))/(SUMIF($C$4:$C$802,C774,$D$4:$D$802)/SUM($D$4:$D$802))</x:f>
        <x:v>0.46153534377762834</x:v>
      </x:c>
    </x:row>
    <x:row r="775">
      <x:c r="A775" s="101" t="str">
        <x:v>鹿児島県</x:v>
      </x:c>
      <x:c r="B775" s="101" t="str">
        <x:v>H</x:v>
      </x:c>
      <x:c r="C775" s="101" t="str">
        <x:v>運輸業，郵便業</x:v>
      </x:c>
      <x:c r="D775" s="102" t="n">
        <x:v>1690</x:v>
      </x:c>
      <x:c r="E775" s="102" t="n">
        <x:f>1+COUNTIFS($C$4:$C$802,C775,$D$4:$D$802,"&gt;"&amp;D775)</x:f>
        <x:v>23</x:v>
      </x:c>
      <x:c r="F775" s="102" t="n">
        <x:v>1588256</x:v>
      </x:c>
      <x:c r="G775" s="126" t="n">
        <x:f>D775/F775*100000</x:f>
        <x:v>106.40602018818124</x:v>
      </x:c>
      <x:c r="H775" s="127" t="n">
        <x:f>1+COUNTIFS($C$4:$C$802,C775,$G$4:$G$802,"&gt;"&amp;G775)</x:f>
        <x:v>19</x:v>
      </x:c>
      <x:c r="I775" s="128" t="n">
        <x:f>D775/SUMIF($C$4:$C$802,C775,$D$4:$D$802)</x:f>
        <x:v>0.013180059895183428</x:v>
      </x:c>
      <x:c r="J775" s="103" t="n">
        <x:f>(D775/SUMIF($A$4:$A$802,A775,$D$4:$D$802))/(SUMIF($C$4:$C$802,C775,$D$4:$D$802)/SUM($D$4:$D$802))</x:f>
        <x:v>0.9465716596790656</x:v>
      </x:c>
    </x:row>
    <x:row r="776">
      <x:c r="A776" s="101" t="str">
        <x:v>鹿児島県</x:v>
      </x:c>
      <x:c r="B776" s="101" t="str">
        <x:v>I</x:v>
      </x:c>
      <x:c r="C776" s="101" t="str">
        <x:v>卸売業，小売業</x:v>
      </x:c>
      <x:c r="D776" s="102" t="n">
        <x:v>18837</x:v>
      </x:c>
      <x:c r="E776" s="102" t="n">
        <x:f>1+COUNTIFS($C$4:$C$802,C776,$D$4:$D$802,"&gt;"&amp;D776)</x:f>
        <x:v>22</x:v>
      </x:c>
      <x:c r="F776" s="102" t="n">
        <x:v>1588256</x:v>
      </x:c>
      <x:c r="G776" s="126" t="n">
        <x:f>D776/F776*100000</x:f>
        <x:v>1186.0178711744202</x:v>
      </x:c>
      <x:c r="H776" s="127" t="n">
        <x:f>1+COUNTIFS($C$4:$C$802,C776,$G$4:$G$802,"&gt;"&amp;G776)</x:f>
        <x:v>8</x:v>
      </x:c>
      <x:c r="I776" s="128" t="n">
        <x:f>D776/SUMIF($C$4:$C$802,C776,$D$4:$D$802)</x:f>
        <x:v>0.015328092959671908</x:v>
      </x:c>
      <x:c r="J776" s="103" t="n">
        <x:f>(D776/SUMIF($A$4:$A$802,A776,$D$4:$D$802))/(SUMIF($C$4:$C$802,C776,$D$4:$D$802)/SUM($D$4:$D$802))</x:f>
        <x:v>1.1008400954121544</x:v>
      </x:c>
    </x:row>
    <x:row r="777">
      <x:c r="A777" s="101" t="str">
        <x:v>鹿児島県</x:v>
      </x:c>
      <x:c r="B777" s="101" t="str">
        <x:v>J</x:v>
      </x:c>
      <x:c r="C777" s="101" t="str">
        <x:v>金融業，保険業</x:v>
      </x:c>
      <x:c r="D777" s="102" t="n">
        <x:v>1230</x:v>
      </x:c>
      <x:c r="E777" s="102" t="n">
        <x:f>1+COUNTIFS($C$4:$C$802,C777,$D$4:$D$802,"&gt;"&amp;D777)</x:f>
        <x:v>22</x:v>
      </x:c>
      <x:c r="F777" s="102" t="n">
        <x:v>1588256</x:v>
      </x:c>
      <x:c r="G777" s="126" t="n">
        <x:f>D777/F777*100000</x:f>
        <x:v>77.44343481151654</x:v>
      </x:c>
      <x:c r="H777" s="127" t="n">
        <x:f>1+COUNTIFS($C$4:$C$802,C777,$G$4:$G$802,"&gt;"&amp;G777)</x:f>
        <x:v>19</x:v>
      </x:c>
      <x:c r="I777" s="128" t="n">
        <x:f>D777/SUMIF($C$4:$C$802,C777,$D$4:$D$802)</x:f>
        <x:v>0.01466870199875972</x:v>
      </x:c>
      <x:c r="J777" s="103" t="n">
        <x:f>(D777/SUMIF($A$4:$A$802,A777,$D$4:$D$802))/(SUMIF($C$4:$C$802,C777,$D$4:$D$802)/SUM($D$4:$D$802))</x:f>
        <x:v>1.053483649294932</x:v>
      </x:c>
    </x:row>
    <x:row r="778">
      <x:c r="A778" s="101" t="str">
        <x:v>鹿児島県</x:v>
      </x:c>
      <x:c r="B778" s="101" t="str">
        <x:v>K</x:v>
      </x:c>
      <x:c r="C778" s="101" t="str">
        <x:v>不動産業，物品賃貸業</x:v>
      </x:c>
      <x:c r="D778" s="102" t="n">
        <x:v>3198</x:v>
      </x:c>
      <x:c r="E778" s="102" t="n">
        <x:f>1+COUNTIFS($C$4:$C$802,C778,$D$4:$D$802,"&gt;"&amp;D778)</x:f>
        <x:v>28</x:v>
      </x:c>
      <x:c r="F778" s="102" t="n">
        <x:v>1588256</x:v>
      </x:c>
      <x:c r="G778" s="126" t="n">
        <x:f>D778/F778*100000</x:f>
        <x:v>201.35293050994298</x:v>
      </x:c>
      <x:c r="H778" s="127" t="n">
        <x:f>1+COUNTIFS($C$4:$C$802,C778,$G$4:$G$802,"&gt;"&amp;G778)</x:f>
        <x:v>43</x:v>
      </x:c>
      <x:c r="I778" s="128" t="n">
        <x:f>D778/SUMIF($C$4:$C$802,C778,$D$4:$D$802)</x:f>
        <x:v>0.008540389258016963</x:v>
      </x:c>
      <x:c r="J778" s="103" t="n">
        <x:f>(D778/SUMIF($A$4:$A$802,A778,$D$4:$D$802))/(SUMIF($C$4:$C$802,C778,$D$4:$D$802)/SUM($D$4:$D$802))</x:f>
        <x:v>0.6133576401440073</x:v>
      </x:c>
    </x:row>
    <x:row r="779">
      <x:c r="A779" s="101" t="str">
        <x:v>鹿児島県</x:v>
      </x:c>
      <x:c r="B779" s="101" t="str">
        <x:v>L</x:v>
      </x:c>
      <x:c r="C779" s="101" t="str">
        <x:v>学術研究，専門・技術サービス業</x:v>
      </x:c>
      <x:c r="D779" s="102" t="n">
        <x:v>3023</x:v>
      </x:c>
      <x:c r="E779" s="102" t="n">
        <x:f>1+COUNTIFS($C$4:$C$802,C779,$D$4:$D$802,"&gt;"&amp;D779)</x:f>
        <x:v>23</x:v>
      </x:c>
      <x:c r="F779" s="102" t="n">
        <x:v>1588256</x:v>
      </x:c>
      <x:c r="G779" s="126" t="n">
        <x:f>D779/F779*100000</x:f>
        <x:v>190.33455563838575</x:v>
      </x:c>
      <x:c r="H779" s="127" t="n">
        <x:f>1+COUNTIFS($C$4:$C$802,C779,$G$4:$G$802,"&gt;"&amp;G779)</x:f>
        <x:v>16</x:v>
      </x:c>
      <x:c r="I779" s="128" t="n">
        <x:f>D779/SUMIF($C$4:$C$802,C779,$D$4:$D$802)</x:f>
        <x:v>0.011979868431481334</x:v>
      </x:c>
      <x:c r="J779" s="103" t="n">
        <x:f>(D779/SUMIF($A$4:$A$802,A779,$D$4:$D$802))/(SUMIF($C$4:$C$802,C779,$D$4:$D$802)/SUM($D$4:$D$802))</x:f>
        <x:v>0.8603757520152235</x:v>
      </x:c>
    </x:row>
    <x:row r="780">
      <x:c r="A780" s="101" t="str">
        <x:v>鹿児島県</x:v>
      </x:c>
      <x:c r="B780" s="101" t="str">
        <x:v>M</x:v>
      </x:c>
      <x:c r="C780" s="101" t="str">
        <x:v>宿泊業，飲食サービス業</x:v>
      </x:c>
      <x:c r="D780" s="102" t="n">
        <x:v>8636</x:v>
      </x:c>
      <x:c r="E780" s="102" t="n">
        <x:f>1+COUNTIFS($C$4:$C$802,C780,$D$4:$D$802,"&gt;"&amp;D780)</x:f>
        <x:v>22</x:v>
      </x:c>
      <x:c r="F780" s="102" t="n">
        <x:v>1588256</x:v>
      </x:c>
      <x:c r="G780" s="126" t="n">
        <x:f>D780/F780*100000</x:f>
        <x:v>543.7410593758185</x:v>
      </x:c>
      <x:c r="H780" s="127" t="n">
        <x:f>1+COUNTIFS($C$4:$C$802,C780,$G$4:$G$802,"&gt;"&amp;G780)</x:f>
        <x:v>12</x:v>
      </x:c>
      <x:c r="I780" s="128" t="n">
        <x:f>D780/SUMIF($C$4:$C$802,C780,$D$4:$D$802)</x:f>
        <x:v>0.014415966400582247</x:v>
      </x:c>
      <x:c r="J780" s="103" t="n">
        <x:f>(D780/SUMIF($A$4:$A$802,A780,$D$4:$D$802))/(SUMIF($C$4:$C$802,C780,$D$4:$D$802)/SUM($D$4:$D$802))</x:f>
        <x:v>1.0353325667862507</x:v>
      </x:c>
    </x:row>
    <x:row r="781">
      <x:c r="A781" s="101" t="str">
        <x:v>鹿児島県</x:v>
      </x:c>
      <x:c r="B781" s="101" t="str">
        <x:v>N</x:v>
      </x:c>
      <x:c r="C781" s="101" t="str">
        <x:v>生活関連サービス業，娯楽業</x:v>
      </x:c>
      <x:c r="D781" s="102" t="n">
        <x:v>6677</x:v>
      </x:c>
      <x:c r="E781" s="102" t="n">
        <x:f>1+COUNTIFS($C$4:$C$802,C781,$D$4:$D$802,"&gt;"&amp;D781)</x:f>
        <x:v>22</x:v>
      </x:c>
      <x:c r="F781" s="102" t="n">
        <x:v>1588256</x:v>
      </x:c>
      <x:c r="G781" s="126" t="n">
        <x:f>D781/F781*100000</x:f>
        <x:v>420.3982229565007</x:v>
      </x:c>
      <x:c r="H781" s="127" t="n">
        <x:f>1+COUNTIFS($C$4:$C$802,C781,$G$4:$G$802,"&gt;"&amp;G781)</x:f>
        <x:v>15</x:v>
      </x:c>
      <x:c r="I781" s="128" t="n">
        <x:f>D781/SUMIF($C$4:$C$802,C781,$D$4:$D$802)</x:f>
        <x:v>0.015377387387179907</x:v>
      </x:c>
      <x:c r="J781" s="103" t="n">
        <x:f>(D781/SUMIF($A$4:$A$802,A781,$D$4:$D$802))/(SUMIF($C$4:$C$802,C781,$D$4:$D$802)/SUM($D$4:$D$802))</x:f>
        <x:v>1.104380345489184</x:v>
      </x:c>
    </x:row>
    <x:row r="782">
      <x:c r="A782" s="101" t="str">
        <x:v>鹿児島県</x:v>
      </x:c>
      <x:c r="B782" s="101" t="str">
        <x:v>O</x:v>
      </x:c>
      <x:c r="C782" s="101" t="str">
        <x:v>教育，学習支援業</x:v>
      </x:c>
      <x:c r="D782" s="102" t="n">
        <x:v>1980</x:v>
      </x:c>
      <x:c r="E782" s="102" t="n">
        <x:f>1+COUNTIFS($C$4:$C$802,C782,$D$4:$D$802,"&gt;"&amp;D782)</x:f>
        <x:v>25</x:v>
      </x:c>
      <x:c r="F782" s="102" t="n">
        <x:v>1588256</x:v>
      </x:c>
      <x:c r="G782" s="126" t="n">
        <x:f>D782/F782*100000</x:f>
        <x:v>124.66504140390465</x:v>
      </x:c>
      <x:c r="H782" s="127" t="n">
        <x:f>1+COUNTIFS($C$4:$C$802,C782,$G$4:$G$802,"&gt;"&amp;G782)</x:f>
        <x:v>29</x:v>
      </x:c>
      <x:c r="I782" s="128" t="n">
        <x:f>D782/SUMIF($C$4:$C$802,C782,$D$4:$D$802)</x:f>
        <x:v>0.012120692715953403</x:v>
      </x:c>
      <x:c r="J782" s="103" t="n">
        <x:f>(D782/SUMIF($A$4:$A$802,A782,$D$4:$D$802))/(SUMIF($C$4:$C$802,C782,$D$4:$D$802)/SUM($D$4:$D$802))</x:f>
        <x:v>0.8704895358474621</x:v>
      </x:c>
    </x:row>
    <x:row r="783">
      <x:c r="A783" s="101" t="str">
        <x:v>鹿児島県</x:v>
      </x:c>
      <x:c r="B783" s="101" t="str">
        <x:v>P</x:v>
      </x:c>
      <x:c r="C783" s="101" t="str">
        <x:v>医療，福祉</x:v>
      </x:c>
      <x:c r="D783" s="102" t="n">
        <x:v>7324</x:v>
      </x:c>
      <x:c r="E783" s="102" t="n">
        <x:f>1+COUNTIFS($C$4:$C$802,C783,$D$4:$D$802,"&gt;"&amp;D783)</x:f>
        <x:v>17</x:v>
      </x:c>
      <x:c r="F783" s="102" t="n">
        <x:v>1588256</x:v>
      </x:c>
      <x:c r="G783" s="126" t="n">
        <x:f>D783/F783*100000</x:f>
        <x:v>461.13472891020086</x:v>
      </x:c>
      <x:c r="H783" s="127" t="n">
        <x:f>1+COUNTIFS($C$4:$C$802,C783,$G$4:$G$802,"&gt;"&amp;G783)</x:f>
        <x:v>3</x:v>
      </x:c>
      <x:c r="I783" s="128" t="n">
        <x:f>D783/SUMIF($C$4:$C$802,C783,$D$4:$D$802)</x:f>
        <x:v>0.015834614328553112</x:v>
      </x:c>
      <x:c r="J783" s="103" t="n">
        <x:f>(D783/SUMIF($A$4:$A$802,A783,$D$4:$D$802))/(SUMIF($C$4:$C$802,C783,$D$4:$D$802)/SUM($D$4:$D$802))</x:f>
        <x:v>1.137217682207493</x:v>
      </x:c>
    </x:row>
    <x:row r="784">
      <x:c r="A784" s="101" t="str">
        <x:v>鹿児島県</x:v>
      </x:c>
      <x:c r="B784" s="101" t="str">
        <x:v>Q</x:v>
      </x:c>
      <x:c r="C784" s="101" t="str">
        <x:v>複合サービス事業</x:v>
      </x:c>
      <x:c r="D784" s="102" t="n">
        <x:v>891</x:v>
      </x:c>
      <x:c r="E784" s="102" t="n">
        <x:f>1+COUNTIFS($C$4:$C$802,C784,$D$4:$D$802,"&gt;"&amp;D784)</x:f>
        <x:v>12</x:v>
      </x:c>
      <x:c r="F784" s="102" t="n">
        <x:v>1588256</x:v>
      </x:c>
      <x:c r="G784" s="126" t="n">
        <x:f>D784/F784*100000</x:f>
        <x:v>56.0992686317571</x:v>
      </x:c>
      <x:c r="H784" s="127" t="n">
        <x:f>1+COUNTIFS($C$4:$C$802,C784,$G$4:$G$802,"&gt;"&amp;G784)</x:f>
        <x:v>4</x:v>
      </x:c>
      <x:c r="I784" s="128" t="n">
        <x:f>D784/SUMIF($C$4:$C$802,C784,$D$4:$D$802)</x:f>
        <x:v>0.027730229373502224</x:v>
      </x:c>
      <x:c r="J784" s="103" t="n">
        <x:f>(D784/SUMIF($A$4:$A$802,A784,$D$4:$D$802))/(SUMIF($C$4:$C$802,C784,$D$4:$D$802)/SUM($D$4:$D$802))</x:f>
        <x:v>1.991542485398688</x:v>
      </x:c>
    </x:row>
    <x:row r="785">
      <x:c r="A785" s="101" t="str">
        <x:v>鹿児島県</x:v>
      </x:c>
      <x:c r="B785" s="101" t="str">
        <x:v>R</x:v>
      </x:c>
      <x:c r="C785" s="101" t="str">
        <x:v>サービス業（他に分類されないもの）</x:v>
      </x:c>
      <x:c r="D785" s="102" t="n">
        <x:v>4693</x:v>
      </x:c>
      <x:c r="E785" s="102" t="n">
        <x:f>1+COUNTIFS($C$4:$C$802,C785,$D$4:$D$802,"&gt;"&amp;D785)</x:f>
        <x:v>26</x:v>
      </x:c>
      <x:c r="F785" s="102" t="n">
        <x:v>1588256</x:v>
      </x:c>
      <x:c r="G785" s="126" t="n">
        <x:f>D785/F785*100000</x:f>
        <x:v>295.4813329841033</x:v>
      </x:c>
      <x:c r="H785" s="127" t="n">
        <x:f>1+COUNTIFS($C$4:$C$802,C785,$G$4:$G$802,"&gt;"&amp;G785)</x:f>
        <x:v>37</x:v>
      </x:c>
      <x:c r="I785" s="128" t="n">
        <x:f>D785/SUMIF($C$4:$C$802,C785,$D$4:$D$802)</x:f>
        <x:v>0.012710854468435479</x:v>
      </x:c>
      <x:c r="J785" s="103" t="n">
        <x:f>(D785/SUMIF($A$4:$A$802,A785,$D$4:$D$802))/(SUMIF($C$4:$C$802,C785,$D$4:$D$802)/SUM($D$4:$D$802))</x:f>
        <x:v>0.9128740465377522</x:v>
      </x:c>
    </x:row>
    <x:row r="786">
      <x:c r="A786" s="101" t="str">
        <x:v>沖縄県</x:v>
      </x:c>
      <x:c r="B786" s="101" t="str">
        <x:v>AB</x:v>
      </x:c>
      <x:c r="C786" s="101" t="str">
        <x:v>農林漁業</x:v>
      </x:c>
      <x:c r="D786" s="102" t="n">
        <x:v>637</x:v>
      </x:c>
      <x:c r="E786" s="102" t="n">
        <x:f>1+COUNTIFS($C$4:$C$802,C786,$D$4:$D$802,"&gt;"&amp;D786)</x:f>
        <x:v>33</x:v>
      </x:c>
      <x:c r="F786" s="102" t="n">
        <x:v>1467480</x:v>
      </x:c>
      <x:c r="G786" s="126" t="n">
        <x:f>D786/F786*100000</x:f>
        <x:v>43.40774661324175</x:v>
      </x:c>
      <x:c r="H786" s="127" t="n">
        <x:f>1+COUNTIFS($C$4:$C$802,C786,$G$4:$G$802,"&gt;"&amp;G786)</x:f>
        <x:v>29</x:v>
      </x:c>
      <x:c r="I786" s="128" t="n">
        <x:f>D786/SUMIF($C$4:$C$802,C786,$D$4:$D$802)</x:f>
        <x:v>0.015003061849357012</x:v>
      </x:c>
      <x:c r="J786" s="103" t="n">
        <x:f>(D786/SUMIF($A$4:$A$802,A786,$D$4:$D$802))/(SUMIF($C$4:$C$802,C786,$D$4:$D$802)/SUM($D$4:$D$802))</x:f>
        <x:v>1.216434703319253</x:v>
      </x:c>
    </x:row>
    <x:row r="787">
      <x:c r="A787" s="101" t="str">
        <x:v>沖縄県</x:v>
      </x:c>
      <x:c r="B787" s="101" t="str">
        <x:v>C</x:v>
      </x:c>
      <x:c r="C787" s="101" t="str">
        <x:v>鉱業，採石業，砂利採取業</x:v>
      </x:c>
      <x:c r="D787" s="102" t="n">
        <x:v>40</x:v>
      </x:c>
      <x:c r="E787" s="102" t="n">
        <x:f>1+COUNTIFS($C$4:$C$802,C787,$D$4:$D$802,"&gt;"&amp;D787)</x:f>
        <x:v>18</x:v>
      </x:c>
      <x:c r="F787" s="102" t="n">
        <x:v>1467480</x:v>
      </x:c>
      <x:c r="G787" s="126" t="n">
        <x:f>D787/F787*100000</x:f>
        <x:v>2.725761168806389</x:v>
      </x:c>
      <x:c r="H787" s="127" t="n">
        <x:f>1+COUNTIFS($C$4:$C$802,C787,$G$4:$G$802,"&gt;"&amp;G787)</x:f>
        <x:v>14</x:v>
      </x:c>
      <x:c r="I787" s="128" t="n">
        <x:f>D787/SUMIF($C$4:$C$802,C787,$D$4:$D$802)</x:f>
        <x:v>0.021447721179624665</x:v>
      </x:c>
      <x:c r="J787" s="103" t="n">
        <x:f>(D787/SUMIF($A$4:$A$802,A787,$D$4:$D$802))/(SUMIF($C$4:$C$802,C787,$D$4:$D$802)/SUM($D$4:$D$802))</x:f>
        <x:v>1.7389618607170456</x:v>
      </x:c>
    </x:row>
    <x:row r="788">
      <x:c r="A788" s="101" t="str">
        <x:v>沖縄県</x:v>
      </x:c>
      <x:c r="B788" s="101" t="str">
        <x:v>D</x:v>
      </x:c>
      <x:c r="C788" s="101" t="str">
        <x:v>建設業</x:v>
      </x:c>
      <x:c r="D788" s="102" t="n">
        <x:v>4653</x:v>
      </x:c>
      <x:c r="E788" s="102" t="n">
        <x:f>1+COUNTIFS($C$4:$C$802,C788,$D$4:$D$802,"&gt;"&amp;D788)</x:f>
        <x:v>37</x:v>
      </x:c>
      <x:c r="F788" s="102" t="n">
        <x:v>1467480</x:v>
      </x:c>
      <x:c r="G788" s="126" t="n">
        <x:f>D788/F788*100000</x:f>
        <x:v>317.0741679614032</x:v>
      </x:c>
      <x:c r="H788" s="127" t="n">
        <x:f>1+COUNTIFS($C$4:$C$802,C788,$G$4:$G$802,"&gt;"&amp;G788)</x:f>
        <x:v>42</x:v>
      </x:c>
      <x:c r="I788" s="128" t="n">
        <x:f>D788/SUMIF($C$4:$C$802,C788,$D$4:$D$802)</x:f>
        <x:v>0.009591144732909396</x:v>
      </x:c>
      <x:c r="J788" s="103" t="n">
        <x:f>(D788/SUMIF($A$4:$A$802,A788,$D$4:$D$802))/(SUMIF($C$4:$C$802,C788,$D$4:$D$802)/SUM($D$4:$D$802))</x:f>
        <x:v>0.777641351799711</x:v>
      </x:c>
    </x:row>
    <x:row r="789">
      <x:c r="A789" s="101" t="str">
        <x:v>沖縄県</x:v>
      </x:c>
      <x:c r="B789" s="101" t="str">
        <x:v>E</x:v>
      </x:c>
      <x:c r="C789" s="101" t="str">
        <x:v>製造業</x:v>
      </x:c>
      <x:c r="D789" s="102" t="n">
        <x:v>2765</x:v>
      </x:c>
      <x:c r="E789" s="102" t="n">
        <x:f>1+COUNTIFS($C$4:$C$802,C789,$D$4:$D$802,"&gt;"&amp;D789)</x:f>
        <x:v>41</x:v>
      </x:c>
      <x:c r="F789" s="102" t="n">
        <x:v>1467480</x:v>
      </x:c>
      <x:c r="G789" s="126" t="n">
        <x:f>D789/F789*100000</x:f>
        <x:v>188.41824079374166</x:v>
      </x:c>
      <x:c r="H789" s="127" t="n">
        <x:f>1+COUNTIFS($C$4:$C$802,C789,$G$4:$G$802,"&gt;"&amp;G789)</x:f>
        <x:v>45</x:v>
      </x:c>
      <x:c r="I789" s="128" t="n">
        <x:f>D789/SUMIF($C$4:$C$802,C789,$D$4:$D$802)</x:f>
        <x:v>0.006701129618992916</x:v>
      </x:c>
      <x:c r="J789" s="103" t="n">
        <x:f>(D789/SUMIF($A$4:$A$802,A789,$D$4:$D$802))/(SUMIF($C$4:$C$802,C789,$D$4:$D$802)/SUM($D$4:$D$802))</x:f>
        <x:v>0.54332153675237</x:v>
      </x:c>
    </x:row>
    <x:row r="790">
      <x:c r="A790" s="101" t="str">
        <x:v>沖縄県</x:v>
      </x:c>
      <x:c r="B790" s="101" t="str">
        <x:v>F</x:v>
      </x:c>
      <x:c r="C790" s="101" t="str">
        <x:v>電気・ガス・熱供給・水道業</x:v>
      </x:c>
      <x:c r="D790" s="102" t="n">
        <x:v>60</x:v>
      </x:c>
      <x:c r="E790" s="102" t="n">
        <x:f>1+COUNTIFS($C$4:$C$802,C790,$D$4:$D$802,"&gt;"&amp;D790)</x:f>
        <x:v>45</x:v>
      </x:c>
      <x:c r="F790" s="102" t="n">
        <x:v>1467480</x:v>
      </x:c>
      <x:c r="G790" s="126" t="n">
        <x:f>D790/F790*100000</x:f>
        <x:v>4.0886417532095845</x:v>
      </x:c>
      <x:c r="H790" s="127" t="n">
        <x:f>1+COUNTIFS($C$4:$C$802,C790,$G$4:$G$802,"&gt;"&amp;G790)</x:f>
        <x:v>43</x:v>
      </x:c>
      <x:c r="I790" s="128" t="n">
        <x:f>D790/SUMIF($C$4:$C$802,C790,$D$4:$D$802)</x:f>
        <x:v>0.00656526972316446</x:v>
      </x:c>
      <x:c r="J790" s="103" t="n">
        <x:f>(D790/SUMIF($A$4:$A$802,A790,$D$4:$D$802))/(SUMIF($C$4:$C$802,C790,$D$4:$D$802)/SUM($D$4:$D$802))</x:f>
        <x:v>0.5323061391132439</x:v>
      </x:c>
    </x:row>
    <x:row r="791">
      <x:c r="A791" s="101" t="str">
        <x:v>沖縄県</x:v>
      </x:c>
      <x:c r="B791" s="101" t="str">
        <x:v>G</x:v>
      </x:c>
      <x:c r="C791" s="101" t="str">
        <x:v>情報通信業</x:v>
      </x:c>
      <x:c r="D791" s="102" t="n">
        <x:v>782</x:v>
      </x:c>
      <x:c r="E791" s="102" t="n">
        <x:f>1+COUNTIFS($C$4:$C$802,C791,$D$4:$D$802,"&gt;"&amp;D791)</x:f>
        <x:v>17</x:v>
      </x:c>
      <x:c r="F791" s="102" t="n">
        <x:v>1467480</x:v>
      </x:c>
      <x:c r="G791" s="126" t="n">
        <x:f>D791/F791*100000</x:f>
        <x:v>53.288630850164914</x:v>
      </x:c>
      <x:c r="H791" s="127" t="n">
        <x:f>1+COUNTIFS($C$4:$C$802,C791,$G$4:$G$802,"&gt;"&amp;G791)</x:f>
        <x:v>4</x:v>
      </x:c>
      <x:c r="I791" s="128" t="n">
        <x:f>D791/SUMIF($C$4:$C$802,C791,$D$4:$D$802)</x:f>
        <x:v>0.010214344492482921</x:v>
      </x:c>
      <x:c r="J791" s="103" t="n">
        <x:f>(D791/SUMIF($A$4:$A$802,A791,$D$4:$D$802))/(SUMIF($C$4:$C$802,C791,$D$4:$D$802)/SUM($D$4:$D$802))</x:f>
        <x:v>0.8281698254044466</x:v>
      </x:c>
    </x:row>
    <x:row r="792">
      <x:c r="A792" s="101" t="str">
        <x:v>沖縄県</x:v>
      </x:c>
      <x:c r="B792" s="101" t="str">
        <x:v>H</x:v>
      </x:c>
      <x:c r="C792" s="101" t="str">
        <x:v>運輸業，郵便業</x:v>
      </x:c>
      <x:c r="D792" s="102" t="n">
        <x:v>1303</x:v>
      </x:c>
      <x:c r="E792" s="102" t="n">
        <x:f>1+COUNTIFS($C$4:$C$802,C792,$D$4:$D$802,"&gt;"&amp;D792)</x:f>
        <x:v>31</x:v>
      </x:c>
      <x:c r="F792" s="102" t="n">
        <x:v>1467480</x:v>
      </x:c>
      <x:c r="G792" s="126" t="n">
        <x:f>D792/F792*100000</x:f>
        <x:v>88.79167007386813</x:v>
      </x:c>
      <x:c r="H792" s="127" t="n">
        <x:f>1+COUNTIFS($C$4:$C$802,C792,$G$4:$G$802,"&gt;"&amp;G792)</x:f>
        <x:v>41</x:v>
      </x:c>
      <x:c r="I792" s="128" t="n">
        <x:f>D792/SUMIF($C$4:$C$802,C792,$D$4:$D$802)</x:f>
        <x:v>0.010161904167706513</x:v>
      </x:c>
      <x:c r="J792" s="103" t="n">
        <x:f>(D792/SUMIF($A$4:$A$802,A792,$D$4:$D$802))/(SUMIF($C$4:$C$802,C792,$D$4:$D$802)/SUM($D$4:$D$802))</x:f>
        <x:v>0.8239180112379876</x:v>
      </x:c>
    </x:row>
    <x:row r="793">
      <x:c r="A793" s="101" t="str">
        <x:v>沖縄県</x:v>
      </x:c>
      <x:c r="B793" s="101" t="str">
        <x:v>I</x:v>
      </x:c>
      <x:c r="C793" s="101" t="str">
        <x:v>卸売業，小売業</x:v>
      </x:c>
      <x:c r="D793" s="102" t="n">
        <x:v>14478</x:v>
      </x:c>
      <x:c r="E793" s="102" t="n">
        <x:f>1+COUNTIFS($C$4:$C$802,C793,$D$4:$D$802,"&gt;"&amp;D793)</x:f>
        <x:v>28</x:v>
      </x:c>
      <x:c r="F793" s="102" t="n">
        <x:v>1467480</x:v>
      </x:c>
      <x:c r="G793" s="126" t="n">
        <x:f>D793/F793*100000</x:f>
        <x:v>986.5892550494725</x:v>
      </x:c>
      <x:c r="H793" s="127" t="n">
        <x:f>1+COUNTIFS($C$4:$C$802,C793,$G$4:$G$802,"&gt;"&amp;G793)</x:f>
        <x:v>37</x:v>
      </x:c>
      <x:c r="I793" s="128" t="n">
        <x:f>D793/SUMIF($C$4:$C$802,C793,$D$4:$D$802)</x:f>
        <x:v>0.011781076066790352</x:v>
      </x:c>
      <x:c r="J793" s="103" t="n">
        <x:f>(D793/SUMIF($A$4:$A$802,A793,$D$4:$D$802))/(SUMIF($C$4:$C$802,C793,$D$4:$D$802)/SUM($D$4:$D$802))</x:f>
        <x:v>0.9551990063082928</x:v>
      </x:c>
    </x:row>
    <x:row r="794">
      <x:c r="A794" s="101" t="str">
        <x:v>沖縄県</x:v>
      </x:c>
      <x:c r="B794" s="101" t="str">
        <x:v>J</x:v>
      </x:c>
      <x:c r="C794" s="101" t="str">
        <x:v>金融業，保険業</x:v>
      </x:c>
      <x:c r="D794" s="102" t="n">
        <x:v>876</x:v>
      </x:c>
      <x:c r="E794" s="102" t="n">
        <x:f>1+COUNTIFS($C$4:$C$802,C794,$D$4:$D$802,"&gt;"&amp;D794)</x:f>
        <x:v>32</x:v>
      </x:c>
      <x:c r="F794" s="102" t="n">
        <x:v>1467480</x:v>
      </x:c>
      <x:c r="G794" s="126" t="n">
        <x:f>D794/F794*100000</x:f>
        <x:v>59.69416959685992</x:v>
      </x:c>
      <x:c r="H794" s="127" t="n">
        <x:f>1+COUNTIFS($C$4:$C$802,C794,$G$4:$G$802,"&gt;"&amp;G794)</x:f>
        <x:v>40</x:v>
      </x:c>
      <x:c r="I794" s="128" t="n">
        <x:f>D794/SUMIF($C$4:$C$802,C794,$D$4:$D$802)</x:f>
        <x:v>0.010446978008872777</x:v>
      </x:c>
      <x:c r="J794" s="103" t="n">
        <x:f>(D794/SUMIF($A$4:$A$802,A794,$D$4:$D$802))/(SUMIF($C$4:$C$802,C794,$D$4:$D$802)/SUM($D$4:$D$802))</x:f>
        <x:v>0.8470315407884924</x:v>
      </x:c>
    </x:row>
    <x:row r="795">
      <x:c r="A795" s="101" t="str">
        <x:v>沖縄県</x:v>
      </x:c>
      <x:c r="B795" s="101" t="str">
        <x:v>K</x:v>
      </x:c>
      <x:c r="C795" s="101" t="str">
        <x:v>不動産業，物品賃貸業</x:v>
      </x:c>
      <x:c r="D795" s="102" t="n">
        <x:v>5804</x:v>
      </x:c>
      <x:c r="E795" s="102" t="n">
        <x:f>1+COUNTIFS($C$4:$C$802,C795,$D$4:$D$802,"&gt;"&amp;D795)</x:f>
        <x:v>15</x:v>
      </x:c>
      <x:c r="F795" s="102" t="n">
        <x:v>1467480</x:v>
      </x:c>
      <x:c r="G795" s="126" t="n">
        <x:f>D795/F795*100000</x:f>
        <x:v>395.50794559380705</x:v>
      </x:c>
      <x:c r="H795" s="127" t="n">
        <x:f>1+COUNTIFS($C$4:$C$802,C795,$G$4:$G$802,"&gt;"&amp;G795)</x:f>
        <x:v>3</x:v>
      </x:c>
      <x:c r="I795" s="128" t="n">
        <x:f>D795/SUMIF($C$4:$C$802,C795,$D$4:$D$802)</x:f>
        <x:v>0.015499818403230286</x:v>
      </x:c>
      <x:c r="J795" s="103" t="n">
        <x:f>(D795/SUMIF($A$4:$A$802,A795,$D$4:$D$802))/(SUMIF($C$4:$C$802,C795,$D$4:$D$802)/SUM($D$4:$D$802))</x:f>
        <x:v>1.256711276014888</x:v>
      </x:c>
    </x:row>
    <x:row r="796">
      <x:c r="A796" s="101" t="str">
        <x:v>沖縄県</x:v>
      </x:c>
      <x:c r="B796" s="101" t="str">
        <x:v>L</x:v>
      </x:c>
      <x:c r="C796" s="101" t="str">
        <x:v>学術研究，専門・技術サービス業</x:v>
      </x:c>
      <x:c r="D796" s="102" t="n">
        <x:v>2847</x:v>
      </x:c>
      <x:c r="E796" s="102" t="n">
        <x:f>1+COUNTIFS($C$4:$C$802,C796,$D$4:$D$802,"&gt;"&amp;D796)</x:f>
        <x:v>24</x:v>
      </x:c>
      <x:c r="F796" s="102" t="n">
        <x:v>1467480</x:v>
      </x:c>
      <x:c r="G796" s="126" t="n">
        <x:f>D796/F796*100000</x:f>
        <x:v>194.00605118979476</x:v>
      </x:c>
      <x:c r="H796" s="127" t="n">
        <x:f>1+COUNTIFS($C$4:$C$802,C796,$G$4:$G$802,"&gt;"&amp;G796)</x:f>
        <x:v>12</x:v>
      </x:c>
      <x:c r="I796" s="128" t="n">
        <x:f>D796/SUMIF($C$4:$C$802,C796,$D$4:$D$802)</x:f>
        <x:v>0.011282396766267733</x:v>
      </x:c>
      <x:c r="J796" s="103" t="n">
        <x:f>(D796/SUMIF($A$4:$A$802,A796,$D$4:$D$802))/(SUMIF($C$4:$C$802,C796,$D$4:$D$802)/SUM($D$4:$D$802))</x:f>
        <x:v>0.9147665390510388</x:v>
      </x:c>
    </x:row>
    <x:row r="797">
      <x:c r="A797" s="101" t="str">
        <x:v>沖縄県</x:v>
      </x:c>
      <x:c r="B797" s="101" t="str">
        <x:v>M</x:v>
      </x:c>
      <x:c r="C797" s="101" t="str">
        <x:v>宿泊業，飲食サービス業</x:v>
      </x:c>
      <x:c r="D797" s="102" t="n">
        <x:v>10393</x:v>
      </x:c>
      <x:c r="E797" s="102" t="n">
        <x:f>1+COUNTIFS($C$4:$C$802,C797,$D$4:$D$802,"&gt;"&amp;D797)</x:f>
        <x:v>17</x:v>
      </x:c>
      <x:c r="F797" s="102" t="n">
        <x:v>1467480</x:v>
      </x:c>
      <x:c r="G797" s="126" t="n">
        <x:f>D797/F797*100000</x:f>
        <x:v>708.2208956851201</x:v>
      </x:c>
      <x:c r="H797" s="127" t="n">
        <x:f>1+COUNTIFS($C$4:$C$802,C797,$G$4:$G$802,"&gt;"&amp;G797)</x:f>
        <x:v>1</x:v>
      </x:c>
      <x:c r="I797" s="128" t="n">
        <x:f>D797/SUMIF($C$4:$C$802,C797,$D$4:$D$802)</x:f>
        <x:v>0.017348904446647904</x:v>
      </x:c>
      <x:c r="J797" s="103" t="n">
        <x:f>(D797/SUMIF($A$4:$A$802,A797,$D$4:$D$802))/(SUMIF($C$4:$C$802,C797,$D$4:$D$802)/SUM($D$4:$D$802))</x:f>
        <x:v>1.406633502239189</x:v>
      </x:c>
    </x:row>
    <x:row r="798">
      <x:c r="A798" s="101" t="str">
        <x:v>沖縄県</x:v>
      </x:c>
      <x:c r="B798" s="101" t="str">
        <x:v>N</x:v>
      </x:c>
      <x:c r="C798" s="101" t="str">
        <x:v>生活関連サービス業，娯楽業</x:v>
      </x:c>
      <x:c r="D798" s="102" t="n">
        <x:v>5701</x:v>
      </x:c>
      <x:c r="E798" s="102" t="n">
        <x:f>1+COUNTIFS($C$4:$C$802,C798,$D$4:$D$802,"&gt;"&amp;D798)</x:f>
        <x:v>26</x:v>
      </x:c>
      <x:c r="F798" s="102" t="n">
        <x:v>1467480</x:v>
      </x:c>
      <x:c r="G798" s="126" t="n">
        <x:f>D798/F798*100000</x:f>
        <x:v>388.48911058413063</x:v>
      </x:c>
      <x:c r="H798" s="127" t="n">
        <x:f>1+COUNTIFS($C$4:$C$802,C798,$G$4:$G$802,"&gt;"&amp;G798)</x:f>
        <x:v>24</x:v>
      </x:c>
      <x:c r="I798" s="128" t="n">
        <x:f>D798/SUMIF($C$4:$C$802,C798,$D$4:$D$802)</x:f>
        <x:v>0.013129621910186108</x:v>
      </x:c>
      <x:c r="J798" s="103" t="n">
        <x:f>(D798/SUMIF($A$4:$A$802,A798,$D$4:$D$802))/(SUMIF($C$4:$C$802,C798,$D$4:$D$802)/SUM($D$4:$D$802))</x:f>
        <x:v>1.0645378852247878</x:v>
      </x:c>
    </x:row>
    <x:row r="799">
      <x:c r="A799" s="101" t="str">
        <x:v>沖縄県</x:v>
      </x:c>
      <x:c r="B799" s="101" t="str">
        <x:v>O</x:v>
      </x:c>
      <x:c r="C799" s="101" t="str">
        <x:v>教育，学習支援業</x:v>
      </x:c>
      <x:c r="D799" s="102" t="n">
        <x:v>2757</x:v>
      </x:c>
      <x:c r="E799" s="102" t="n">
        <x:f>1+COUNTIFS($C$4:$C$802,C799,$D$4:$D$802,"&gt;"&amp;D799)</x:f>
        <x:v>17</x:v>
      </x:c>
      <x:c r="F799" s="102" t="n">
        <x:v>1467480</x:v>
      </x:c>
      <x:c r="G799" s="126" t="n">
        <x:f>D799/F799*100000</x:f>
        <x:v>187.87308855998037</x:v>
      </x:c>
      <x:c r="H799" s="127" t="n">
        <x:f>1+COUNTIFS($C$4:$C$802,C799,$G$4:$G$802,"&gt;"&amp;G799)</x:f>
        <x:v>1</x:v>
      </x:c>
      <x:c r="I799" s="128" t="n">
        <x:f>D799/SUMIF($C$4:$C$802,C799,$D$4:$D$802)</x:f>
        <x:v>0.01687714637266845</x:v>
      </x:c>
      <x:c r="J799" s="103" t="n">
        <x:f>(D799/SUMIF($A$4:$A$802,A799,$D$4:$D$802))/(SUMIF($C$4:$C$802,C799,$D$4:$D$802)/SUM($D$4:$D$802))</x:f>
        <x:v>1.3683837837136166</x:v>
      </x:c>
    </x:row>
    <x:row r="800">
      <x:c r="A800" s="101" t="str">
        <x:v>沖縄県</x:v>
      </x:c>
      <x:c r="B800" s="101" t="str">
        <x:v>P</x:v>
      </x:c>
      <x:c r="C800" s="101" t="str">
        <x:v>医療，福祉</x:v>
      </x:c>
      <x:c r="D800" s="102" t="n">
        <x:v>6018</x:v>
      </x:c>
      <x:c r="E800" s="102" t="n">
        <x:f>1+COUNTIFS($C$4:$C$802,C800,$D$4:$D$802,"&gt;"&amp;D800)</x:f>
        <x:v>25</x:v>
      </x:c>
      <x:c r="F800" s="102" t="n">
        <x:v>1467480</x:v>
      </x:c>
      <x:c r="G800" s="126" t="n">
        <x:f>D800/F800*100000</x:f>
        <x:v>410.0907678469212</x:v>
      </x:c>
      <x:c r="H800" s="127" t="n">
        <x:f>1+COUNTIFS($C$4:$C$802,C800,$G$4:$G$802,"&gt;"&amp;G800)</x:f>
        <x:v>14</x:v>
      </x:c>
      <x:c r="I800" s="128" t="n">
        <x:f>D800/SUMIF($C$4:$C$802,C800,$D$4:$D$802)</x:f>
        <x:v>0.01301101980191598</x:v>
      </x:c>
      <x:c r="J800" s="103" t="n">
        <x:f>(D800/SUMIF($A$4:$A$802,A800,$D$4:$D$802))/(SUMIF($C$4:$C$802,C800,$D$4:$D$802)/SUM($D$4:$D$802))</x:f>
        <x:v>1.0549217334128962</x:v>
      </x:c>
    </x:row>
    <x:row r="801">
      <x:c r="A801" s="101" t="str">
        <x:v>沖縄県</x:v>
      </x:c>
      <x:c r="B801" s="101" t="str">
        <x:v>Q</x:v>
      </x:c>
      <x:c r="C801" s="101" t="str">
        <x:v>複合サービス事業</x:v>
      </x:c>
      <x:c r="D801" s="102" t="n">
        <x:v>321</x:v>
      </x:c>
      <x:c r="E801" s="102" t="n">
        <x:f>1+COUNTIFS($C$4:$C$802,C801,$D$4:$D$802,"&gt;"&amp;D801)</x:f>
        <x:v>42</x:v>
      </x:c>
      <x:c r="F801" s="102" t="n">
        <x:v>1467480</x:v>
      </x:c>
      <x:c r="G801" s="126" t="n">
        <x:f>D801/F801*100000</x:f>
        <x:v>21.87423337967127</x:v>
      </x:c>
      <x:c r="H801" s="127" t="n">
        <x:f>1+COUNTIFS($C$4:$C$802,C801,$G$4:$G$802,"&gt;"&amp;G801)</x:f>
        <x:v>40</x:v>
      </x:c>
      <x:c r="I801" s="128" t="n">
        <x:f>D801/SUMIF($C$4:$C$802,C801,$D$4:$D$802)</x:f>
        <x:v>0.00999035199651427</x:v>
      </x:c>
      <x:c r="J801" s="103" t="n">
        <x:f>(D801/SUMIF($A$4:$A$802,A801,$D$4:$D$802))/(SUMIF($C$4:$C$802,C801,$D$4:$D$802)/SUM($D$4:$D$802))</x:f>
        <x:v>0.8100087161512015</x:v>
      </x:c>
    </x:row>
    <x:row r="802">
      <x:c r="A802" s="104" t="str">
        <x:v>沖縄県</x:v>
      </x:c>
      <x:c r="B802" s="104" t="str">
        <x:v>R</x:v>
      </x:c>
      <x:c r="C802" s="104" t="str">
        <x:v>サービス業（他に分類されないもの）</x:v>
      </x:c>
      <x:c r="D802" s="105" t="n">
        <x:v>4158</x:v>
      </x:c>
      <x:c r="E802" s="105" t="n">
        <x:f>1+COUNTIFS($C$4:$C$802,C802,$D$4:$D$802,"&gt;"&amp;D802)</x:f>
        <x:v>33</x:v>
      </x:c>
      <x:c r="F802" s="105" t="n">
        <x:v>1467480</x:v>
      </x:c>
      <x:c r="G802" s="129" t="n">
        <x:f>D802/F802*100000</x:f>
        <x:v>283.34287349742414</x:v>
      </x:c>
      <x:c r="H802" s="130" t="n">
        <x:f>1+COUNTIFS($C$4:$C$802,C802,$G$4:$G$802,"&gt;"&amp;G802)</x:f>
        <x:v>39</x:v>
      </x:c>
      <x:c r="I802" s="131" t="n">
        <x:f>D802/SUMIF($C$4:$C$802,C802,$D$4:$D$802)</x:f>
        <x:v>0.011261822475975862</x:v>
      </x:c>
      <x:c r="J802" s="106" t="n">
        <x:f>(D802/SUMIF($A$4:$A$802,A802,$D$4:$D$802))/(SUMIF($C$4:$C$802,C802,$D$4:$D$802)/SUM($D$4:$D$802))</x:f>
        <x:v>0.9130983941777797</x:v>
      </x:c>
    </x:row>
  </x:sheetData>
  <x:mergeCells>
    <x:mergeCell ref="A1:J1"/>
    <x:mergeCell ref="A2:P2"/>
  </x:mergeCells>
  <x:conditionalFormatting sqref="A4:J802">
    <x:cfRule type="expression" dxfId="0" priority="1">
      <x:formula>$A4="京都府"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f836e2e6424f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3" hidden="0" customWidth="1"/>
    <x:col min="5" max="5" width="10" hidden="0" customWidth="1"/>
    <x:col min="6" max="6" width="15" hidden="0" customWidth="1"/>
    <x:col min="7" max="7" width="18" hidden="0" customWidth="1"/>
    <x:col min="8" max="8" width="12" hidden="0" customWidth="1"/>
    <x:col min="9" max="9" width="13" hidden="0" customWidth="1"/>
    <x:col min="10" max="10" width="10" hidden="0" customWidth="1"/>
  </x:cols>
  <x:sheetData>
    <x:row r="1" ht="34" customHeight="1">
      <x:c r="A1" s="83" t="str">
        <x:v>都道府県別 産業大分類別従業者数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 ht="28" customHeight="1">
      <x:c r="A2" s="85" t="str">
        <x:v>令和3年経済センサス（民営事業所）。従業者数は男女計（男女不詳を含む）。人口は令和2年国勢調査。</x:v>
      </x:c>
      <x:c r="B2" s="84"/>
      <x:c r="C2" s="84"/>
      <x:c r="D2" s="84"/>
      <x:c r="E2" s="84"/>
      <x:c r="F2" s="84"/>
      <x:c r="G2" s="84"/>
      <x:c r="H2" s="84"/>
      <x:c r="I2" s="84"/>
      <x:c r="J2" s="84"/>
    </x:row>
    <x:row r="3" ht="34" customHeight="1">
      <x:c r="A3" s="86" t="str">
        <x:v>都道府県</x:v>
      </x:c>
      <x:c r="B3" s="87" t="str">
        <x:v>産業コード</x:v>
      </x:c>
      <x:c r="C3" s="87" t="str">
        <x:v>産業大分類</x:v>
      </x:c>
      <x:c r="D3" s="87" t="str">
        <x:v>従業者数</x:v>
      </x:c>
      <x:c r="E3" s="87" t="str">
        <x:v>全国順位</x:v>
      </x:c>
      <x:c r="F3" s="87" t="str">
        <x:v>人口（2020）</x:v>
      </x:c>
      <x:c r="G3" s="87" t="str">
        <x:v>人口1万人当たり</x:v>
      </x:c>
      <x:c r="H3" s="87" t="str">
        <x:v>人口比順位</x:v>
      </x:c>
      <x:c r="I3" s="87" t="str">
        <x:v>全国シェア</x:v>
      </x:c>
      <x:c r="J3" s="88" t="str">
        <x:v>LQ</x:v>
      </x:c>
    </x:row>
    <x:row r="4">
      <x:c r="A4" s="98" t="str">
        <x:v>北海道</x:v>
      </x:c>
      <x:c r="B4" s="98" t="str">
        <x:v>AB</x:v>
      </x:c>
      <x:c r="C4" s="98" t="str">
        <x:v>農林漁業</x:v>
      </x:c>
      <x:c r="D4" s="99" t="n">
        <x:v>46750</x:v>
      </x:c>
      <x:c r="E4" s="99" t="n">
        <x:f>1+COUNTIFS($C$4:$C$802,C4,$D$4:$D$802,"&gt;"&amp;D4)</x:f>
        <x:v>1</x:v>
      </x:c>
      <x:c r="F4" s="99" t="n">
        <x:v>5224614</x:v>
      </x:c>
      <x:c r="G4" s="123" t="n">
        <x:f>D4/F4*10000</x:f>
        <x:v>89.48029462080835</x:v>
      </x:c>
      <x:c r="H4" s="124" t="n">
        <x:f>1+COUNTIFS($C$4:$C$802,C4,$G$4:$G$802,"&gt;"&amp;G4)</x:f>
        <x:v>8</x:v>
      </x:c>
      <x:c r="I4" s="125" t="n">
        <x:f>D4/SUMIF($C$4:$C$802,C4,$D$4:$D$802)</x:f>
        <x:v>0.1030409761451875</x:v>
      </x:c>
      <x:c r="J4" s="100" t="n">
        <x:f>(D4/SUMIF($A$4:$A$802,A4,$D$4:$D$802))/(SUMIF($C$4:$C$802,C4,$D$4:$D$802)/SUM($D$4:$D$802))</x:f>
        <x:v>2.75757060350821</x:v>
      </x:c>
    </x:row>
    <x:row r="5">
      <x:c r="A5" s="101" t="str">
        <x:v>北海道</x:v>
      </x:c>
      <x:c r="B5" s="101" t="str">
        <x:v>C</x:v>
      </x:c>
      <x:c r="C5" s="101" t="str">
        <x:v>鉱業，採石業，砂利採取業</x:v>
      </x:c>
      <x:c r="D5" s="102" t="n">
        <x:v>1632</x:v>
      </x:c>
      <x:c r="E5" s="102" t="n">
        <x:f>1+COUNTIFS($C$4:$C$802,C5,$D$4:$D$802,"&gt;"&amp;D5)</x:f>
        <x:v>2</x:v>
      </x:c>
      <x:c r="F5" s="102" t="n">
        <x:v>5224614</x:v>
      </x:c>
      <x:c r="G5" s="126" t="n">
        <x:f>D5/F5*10000</x:f>
        <x:v>3.1236757394900367</x:v>
      </x:c>
      <x:c r="H5" s="127" t="n">
        <x:f>1+COUNTIFS($C$4:$C$802,C5,$G$4:$G$802,"&gt;"&amp;G5)</x:f>
        <x:v>11</x:v>
      </x:c>
      <x:c r="I5" s="128" t="n">
        <x:f>D5/SUMIF($C$4:$C$802,C5,$D$4:$D$802)</x:f>
        <x:v>0.08285525714575824</x:v>
      </x:c>
      <x:c r="J5" s="103" t="n">
        <x:f>(D5/SUMIF($A$4:$A$802,A5,$D$4:$D$802))/(SUMIF($C$4:$C$802,C5,$D$4:$D$802)/SUM($D$4:$D$802))</x:f>
        <x:v>2.2173627424620195</x:v>
      </x:c>
    </x:row>
    <x:row r="6">
      <x:c r="A6" s="101" t="str">
        <x:v>北海道</x:v>
      </x:c>
      <x:c r="B6" s="101" t="str">
        <x:v>D</x:v>
      </x:c>
      <x:c r="C6" s="101" t="str">
        <x:v>建設業</x:v>
      </x:c>
      <x:c r="D6" s="102" t="n">
        <x:v>183261</x:v>
      </x:c>
      <x:c r="E6" s="102" t="n">
        <x:f>1+COUNTIFS($C$4:$C$802,C6,$D$4:$D$802,"&gt;"&amp;D6)</x:f>
        <x:v>5</x:v>
      </x:c>
      <x:c r="F6" s="102" t="n">
        <x:v>5224614</x:v>
      </x:c>
      <x:c r="G6" s="126" t="n">
        <x:f>D6/F6*10000</x:f>
        <x:v>350.76466893056596</x:v>
      </x:c>
      <x:c r="H6" s="127" t="n">
        <x:f>1+COUNTIFS($C$4:$C$802,C6,$G$4:$G$802,"&gt;"&amp;G6)</x:f>
        <x:v>11</x:v>
      </x:c>
      <x:c r="I6" s="128" t="n">
        <x:f>D6/SUMIF($C$4:$C$802,C6,$D$4:$D$802)</x:f>
        <x:v>0.049034158636383704</x:v>
      </x:c>
      <x:c r="J6" s="103" t="n">
        <x:f>(D6/SUMIF($A$4:$A$802,A6,$D$4:$D$802))/(SUMIF($C$4:$C$802,C6,$D$4:$D$802)/SUM($D$4:$D$802))</x:f>
        <x:v>1.3122464429386629</x:v>
      </x:c>
    </x:row>
    <x:row r="7">
      <x:c r="A7" s="101" t="str">
        <x:v>北海道</x:v>
      </x:c>
      <x:c r="B7" s="101" t="str">
        <x:v>E</x:v>
      </x:c>
      <x:c r="C7" s="101" t="str">
        <x:v>製造業</x:v>
      </x:c>
      <x:c r="D7" s="102" t="n">
        <x:v>187396</x:v>
      </x:c>
      <x:c r="E7" s="102" t="n">
        <x:f>1+COUNTIFS($C$4:$C$802,C7,$D$4:$D$802,"&gt;"&amp;D7)</x:f>
        <x:v>18</x:v>
      </x:c>
      <x:c r="F7" s="102" t="n">
        <x:v>5224614</x:v>
      </x:c>
      <x:c r="G7" s="126" t="n">
        <x:f>D7/F7*10000</x:f>
        <x:v>358.67912921413904</x:v>
      </x:c>
      <x:c r="H7" s="127" t="n">
        <x:f>1+COUNTIFS($C$4:$C$802,C7,$G$4:$G$802,"&gt;"&amp;G7)</x:f>
        <x:v>46</x:v>
      </x:c>
      <x:c r="I7" s="128" t="n">
        <x:f>D7/SUMIF($C$4:$C$802,C7,$D$4:$D$802)</x:f>
        <x:v>0.021286188001944196</x:v>
      </x:c>
      <x:c r="J7" s="103" t="n">
        <x:f>(D7/SUMIF($A$4:$A$802,A7,$D$4:$D$802))/(SUMIF($C$4:$C$802,C7,$D$4:$D$802)/SUM($D$4:$D$802))</x:f>
        <x:v>0.5696584843315458</x:v>
      </x:c>
    </x:row>
    <x:row r="8">
      <x:c r="A8" s="101" t="str">
        <x:v>北海道</x:v>
      </x:c>
      <x:c r="B8" s="101" t="str">
        <x:v>F</x:v>
      </x:c>
      <x:c r="C8" s="101" t="str">
        <x:v>電気・ガス・熱供給・水道業</x:v>
      </x:c>
      <x:c r="D8" s="102" t="n">
        <x:v>10857</x:v>
      </x:c>
      <x:c r="E8" s="102" t="n">
        <x:f>1+COUNTIFS($C$4:$C$802,C8,$D$4:$D$802,"&gt;"&amp;D8)</x:f>
        <x:v>5</x:v>
      </x:c>
      <x:c r="F8" s="102" t="n">
        <x:v>5224614</x:v>
      </x:c>
      <x:c r="G8" s="126" t="n">
        <x:f>D8/F8*10000</x:f>
        <x:v>20.78048253899714</x:v>
      </x:c>
      <x:c r="H8" s="127" t="n">
        <x:f>1+COUNTIFS($C$4:$C$802,C8,$G$4:$G$802,"&gt;"&amp;G8)</x:f>
        <x:v>9</x:v>
      </x:c>
      <x:c r="I8" s="128" t="n">
        <x:f>D8/SUMIF($C$4:$C$802,C8,$D$4:$D$802)</x:f>
        <x:v>0.05370790852292121</x:v>
      </x:c>
      <x:c r="J8" s="103" t="n">
        <x:f>(D8/SUMIF($A$4:$A$802,A8,$D$4:$D$802))/(SUMIF($C$4:$C$802,C8,$D$4:$D$802)/SUM($D$4:$D$802))</x:f>
        <x:v>1.4373247931001158</x:v>
      </x:c>
    </x:row>
    <x:row r="9">
      <x:c r="A9" s="101" t="str">
        <x:v>北海道</x:v>
      </x:c>
      <x:c r="B9" s="101" t="str">
        <x:v>G</x:v>
      </x:c>
      <x:c r="C9" s="101" t="str">
        <x:v>情報通信業</x:v>
      </x:c>
      <x:c r="D9" s="102" t="n">
        <x:v>44321</x:v>
      </x:c>
      <x:c r="E9" s="102" t="n">
        <x:f>1+COUNTIFS($C$4:$C$802,C9,$D$4:$D$802,"&gt;"&amp;D9)</x:f>
        <x:v>6</x:v>
      </x:c>
      <x:c r="F9" s="102" t="n">
        <x:v>5224614</x:v>
      </x:c>
      <x:c r="G9" s="126" t="n">
        <x:f>D9/F9*10000</x:f>
        <x:v>84.83114733452078</x:v>
      </x:c>
      <x:c r="H9" s="127" t="n">
        <x:f>1+COUNTIFS($C$4:$C$802,C9,$G$4:$G$802,"&gt;"&amp;G9)</x:f>
        <x:v>9</x:v>
      </x:c>
      <x:c r="I9" s="128" t="n">
        <x:f>D9/SUMIF($C$4:$C$802,C9,$D$4:$D$802)</x:f>
        <x:v>0.02230729314252438</x:v>
      </x:c>
      <x:c r="J9" s="103" t="n">
        <x:f>(D9/SUMIF($A$4:$A$802,A9,$D$4:$D$802))/(SUMIF($C$4:$C$802,C9,$D$4:$D$802)/SUM($D$4:$D$802))</x:f>
        <x:v>0.5969851811864703</x:v>
      </x:c>
    </x:row>
    <x:row r="10">
      <x:c r="A10" s="101" t="str">
        <x:v>北海道</x:v>
      </x:c>
      <x:c r="B10" s="101" t="str">
        <x:v>H</x:v>
      </x:c>
      <x:c r="C10" s="101" t="str">
        <x:v>運輸業，郵便業</x:v>
      </x:c>
      <x:c r="D10" s="102" t="n">
        <x:v>133986</x:v>
      </x:c>
      <x:c r="E10" s="102" t="n">
        <x:f>1+COUNTIFS($C$4:$C$802,C10,$D$4:$D$802,"&gt;"&amp;D10)</x:f>
        <x:v>8</x:v>
      </x:c>
      <x:c r="F10" s="102" t="n">
        <x:v>5224614</x:v>
      </x:c>
      <x:c r="G10" s="126" t="n">
        <x:f>D10/F10*10000</x:f>
        <x:v>256.45148139173534</x:v>
      </x:c>
      <x:c r="H10" s="127" t="n">
        <x:f>1+COUNTIFS($C$4:$C$802,C10,$G$4:$G$802,"&gt;"&amp;G10)</x:f>
        <x:v>14</x:v>
      </x:c>
      <x:c r="I10" s="128" t="n">
        <x:f>D10/SUMIF($C$4:$C$802,C10,$D$4:$D$802)</x:f>
        <x:v>0.04104040329166174</x:v>
      </x:c>
      <x:c r="J10" s="103" t="n">
        <x:f>(D10/SUMIF($A$4:$A$802,A10,$D$4:$D$802))/(SUMIF($C$4:$C$802,C10,$D$4:$D$802)/SUM($D$4:$D$802))</x:f>
        <x:v>1.0983184933510906</x:v>
      </x:c>
    </x:row>
    <x:row r="11">
      <x:c r="A11" s="101" t="str">
        <x:v>北海道</x:v>
      </x:c>
      <x:c r="B11" s="101" t="str">
        <x:v>I</x:v>
      </x:c>
      <x:c r="C11" s="101" t="str">
        <x:v>卸売業，小売業</x:v>
      </x:c>
      <x:c r="D11" s="102" t="n">
        <x:v>456909</x:v>
      </x:c>
      <x:c r="E11" s="102" t="n">
        <x:f>1+COUNTIFS($C$4:$C$802,C11,$D$4:$D$802,"&gt;"&amp;D11)</x:f>
        <x:v>7</x:v>
      </x:c>
      <x:c r="F11" s="102" t="n">
        <x:v>5224614</x:v>
      </x:c>
      <x:c r="G11" s="126" t="n">
        <x:f>D11/F11*10000</x:f>
        <x:v>874.5315921903513</x:v>
      </x:c>
      <x:c r="H11" s="127" t="n">
        <x:f>1+COUNTIFS($C$4:$C$802,C11,$G$4:$G$802,"&gt;"&amp;G11)</x:f>
        <x:v>14</x:v>
      </x:c>
      <x:c r="I11" s="128" t="n">
        <x:f>D11/SUMIF($C$4:$C$802,C11,$D$4:$D$802)</x:f>
        <x:v>0.03934825959935666</x:v>
      </x:c>
      <x:c r="J11" s="103" t="n">
        <x:f>(D11/SUMIF($A$4:$A$802,A11,$D$4:$D$802))/(SUMIF($C$4:$C$802,C11,$D$4:$D$802)/SUM($D$4:$D$802))</x:f>
        <x:v>1.0530335409236455</x:v>
      </x:c>
    </x:row>
    <x:row r="12">
      <x:c r="A12" s="101" t="str">
        <x:v>北海道</x:v>
      </x:c>
      <x:c r="B12" s="101" t="str">
        <x:v>J</x:v>
      </x:c>
      <x:c r="C12" s="101" t="str">
        <x:v>金融業，保険業</x:v>
      </x:c>
      <x:c r="D12" s="102" t="n">
        <x:v>48805</x:v>
      </x:c>
      <x:c r="E12" s="102" t="n">
        <x:f>1+COUNTIFS($C$4:$C$802,C12,$D$4:$D$802,"&gt;"&amp;D12)</x:f>
        <x:v>7</x:v>
      </x:c>
      <x:c r="F12" s="102" t="n">
        <x:v>5224614</x:v>
      </x:c>
      <x:c r="G12" s="126" t="n">
        <x:f>D12/F12*10000</x:f>
        <x:v>93.41359955012945</x:v>
      </x:c>
      <x:c r="H12" s="127" t="n">
        <x:f>1+COUNTIFS($C$4:$C$802,C12,$G$4:$G$802,"&gt;"&amp;G12)</x:f>
        <x:v>32</x:v>
      </x:c>
      <x:c r="I12" s="128" t="n">
        <x:f>D12/SUMIF($C$4:$C$802,C12,$D$4:$D$802)</x:f>
        <x:v>0.03265780535265478</x:v>
      </x:c>
      <x:c r="J12" s="103" t="n">
        <x:f>(D12/SUMIF($A$4:$A$802,A12,$D$4:$D$802))/(SUMIF($C$4:$C$802,C12,$D$4:$D$802)/SUM($D$4:$D$802))</x:f>
        <x:v>0.8739843835396346</x:v>
      </x:c>
    </x:row>
    <x:row r="13">
      <x:c r="A13" s="101" t="str">
        <x:v>北海道</x:v>
      </x:c>
      <x:c r="B13" s="101" t="str">
        <x:v>K</x:v>
      </x:c>
      <x:c r="C13" s="101" t="str">
        <x:v>不動産業，物品賃貸業</x:v>
      </x:c>
      <x:c r="D13" s="102" t="n">
        <x:v>60906</x:v>
      </x:c>
      <x:c r="E13" s="102" t="n">
        <x:f>1+COUNTIFS($C$4:$C$802,C13,$D$4:$D$802,"&gt;"&amp;D13)</x:f>
        <x:v>7</x:v>
      </x:c>
      <x:c r="F13" s="102" t="n">
        <x:v>5224614</x:v>
      </x:c>
      <x:c r="G13" s="126" t="n">
        <x:f>D13/F13*10000</x:f>
        <x:v>116.57511923368884</x:v>
      </x:c>
      <x:c r="H13" s="127" t="n">
        <x:f>1+COUNTIFS($C$4:$C$802,C13,$G$4:$G$802,"&gt;"&amp;G13)</x:f>
        <x:v>10</x:v>
      </x:c>
      <x:c r="I13" s="128" t="n">
        <x:f>D13/SUMIF($C$4:$C$802,C13,$D$4:$D$802)</x:f>
        <x:v>0.037639558554338384</x:v>
      </x:c>
      <x:c r="J13" s="103" t="n">
        <x:f>(D13/SUMIF($A$4:$A$802,A13,$D$4:$D$802))/(SUMIF($C$4:$C$802,C13,$D$4:$D$802)/SUM($D$4:$D$802))</x:f>
        <x:v>1.0073054825511487</x:v>
      </x:c>
    </x:row>
    <x:row r="14">
      <x:c r="A14" s="101" t="str">
        <x:v>北海道</x:v>
      </x:c>
      <x:c r="B14" s="101" t="str">
        <x:v>L</x:v>
      </x:c>
      <x:c r="C14" s="101" t="str">
        <x:v>学術研究，専門・技術サービス業</x:v>
      </x:c>
      <x:c r="D14" s="102" t="n">
        <x:v>61975</x:v>
      </x:c>
      <x:c r="E14" s="102" t="n">
        <x:f>1+COUNTIFS($C$4:$C$802,C14,$D$4:$D$802,"&gt;"&amp;D14)</x:f>
        <x:v>9</x:v>
      </x:c>
      <x:c r="F14" s="102" t="n">
        <x:v>5224614</x:v>
      </x:c>
      <x:c r="G14" s="126" t="n">
        <x:f>D14/F14*10000</x:f>
        <x:v>118.62120340373471</x:v>
      </x:c>
      <x:c r="H14" s="127" t="n">
        <x:f>1+COUNTIFS($C$4:$C$802,C14,$G$4:$G$802,"&gt;"&amp;G14)</x:f>
        <x:v>18</x:v>
      </x:c>
      <x:c r="I14" s="128" t="n">
        <x:f>D14/SUMIF($C$4:$C$802,C14,$D$4:$D$802)</x:f>
        <x:v>0.029248390689596587</x:v>
      </x:c>
      <x:c r="J14" s="103" t="n">
        <x:f>(D14/SUMIF($A$4:$A$802,A14,$D$4:$D$802))/(SUMIF($C$4:$C$802,C14,$D$4:$D$802)/SUM($D$4:$D$802))</x:f>
        <x:v>0.7827420253852256</x:v>
      </x:c>
    </x:row>
    <x:row r="15">
      <x:c r="A15" s="101" t="str">
        <x:v>北海道</x:v>
      </x:c>
      <x:c r="B15" s="101" t="str">
        <x:v>M</x:v>
      </x:c>
      <x:c r="C15" s="101" t="str">
        <x:v>宿泊業，飲食サービス業</x:v>
      </x:c>
      <x:c r="D15" s="102" t="n">
        <x:v>186116</x:v>
      </x:c>
      <x:c r="E15" s="102" t="n">
        <x:f>1+COUNTIFS($C$4:$C$802,C15,$D$4:$D$802,"&gt;"&amp;D15)</x:f>
        <x:v>9</x:v>
      </x:c>
      <x:c r="F15" s="102" t="n">
        <x:v>5224614</x:v>
      </x:c>
      <x:c r="G15" s="126" t="n">
        <x:f>D15/F15*10000</x:f>
        <x:v>356.2291874576763</x:v>
      </x:c>
      <x:c r="H15" s="127" t="n">
        <x:f>1+COUNTIFS($C$4:$C$802,C15,$G$4:$G$802,"&gt;"&amp;G15)</x:f>
        <x:v>17</x:v>
      </x:c>
      <x:c r="I15" s="128" t="n">
        <x:f>D15/SUMIF($C$4:$C$802,C15,$D$4:$D$802)</x:f>
        <x:v>0.03977909432434679</x:v>
      </x:c>
      <x:c r="J15" s="103" t="n">
        <x:f>(D15/SUMIF($A$4:$A$802,A15,$D$4:$D$802))/(SUMIF($C$4:$C$802,C15,$D$4:$D$802)/SUM($D$4:$D$802))</x:f>
        <x:v>1.0645634896590817</x:v>
      </x:c>
    </x:row>
    <x:row r="16">
      <x:c r="A16" s="101" t="str">
        <x:v>北海道</x:v>
      </x:c>
      <x:c r="B16" s="101" t="str">
        <x:v>N</x:v>
      </x:c>
      <x:c r="C16" s="101" t="str">
        <x:v>生活関連サービス業，娯楽業</x:v>
      </x:c>
      <x:c r="D16" s="102" t="n">
        <x:v>85622</x:v>
      </x:c>
      <x:c r="E16" s="102" t="n">
        <x:f>1+COUNTIFS($C$4:$C$802,C16,$D$4:$D$802,"&gt;"&amp;D16)</x:f>
        <x:v>7</x:v>
      </x:c>
      <x:c r="F16" s="102" t="n">
        <x:v>5224614</x:v>
      </x:c>
      <x:c r="G16" s="126" t="n">
        <x:f>D16/F16*10000</x:f>
        <x:v>163.88196333738722</x:v>
      </x:c>
      <x:c r="H16" s="127" t="n">
        <x:f>1+COUNTIFS($C$4:$C$802,C16,$G$4:$G$802,"&gt;"&amp;G16)</x:f>
        <x:v>28</x:v>
      </x:c>
      <x:c r="I16" s="128" t="n">
        <x:f>D16/SUMIF($C$4:$C$802,C16,$D$4:$D$802)</x:f>
        <x:v>0.0393458322285479</x:v>
      </x:c>
      <x:c r="J16" s="103" t="n">
        <x:f>(D16/SUMIF($A$4:$A$802,A16,$D$4:$D$802))/(SUMIF($C$4:$C$802,C16,$D$4:$D$802)/SUM($D$4:$D$802))</x:f>
        <x:v>1.0529685799087514</x:v>
      </x:c>
    </x:row>
    <x:row r="17">
      <x:c r="A17" s="101" t="str">
        <x:v>北海道</x:v>
      </x:c>
      <x:c r="B17" s="101" t="str">
        <x:v>O</x:v>
      </x:c>
      <x:c r="C17" s="101" t="str">
        <x:v>教育，学習支援業</x:v>
      </x:c>
      <x:c r="D17" s="102" t="n">
        <x:v>64961</x:v>
      </x:c>
      <x:c r="E17" s="102" t="n">
        <x:f>1+COUNTIFS($C$4:$C$802,C17,$D$4:$D$802,"&gt;"&amp;D17)</x:f>
        <x:v>10</x:v>
      </x:c>
      <x:c r="F17" s="102" t="n">
        <x:v>5224614</x:v>
      </x:c>
      <x:c r="G17" s="126" t="n">
        <x:f>D17/F17*10000</x:f>
        <x:v>124.33645815748302</x:v>
      </x:c>
      <x:c r="H17" s="127" t="n">
        <x:f>1+COUNTIFS($C$4:$C$802,C17,$G$4:$G$802,"&gt;"&amp;G17)</x:f>
        <x:v>30</x:v>
      </x:c>
      <x:c r="I17" s="128" t="n">
        <x:f>D17/SUMIF($C$4:$C$802,C17,$D$4:$D$802)</x:f>
        <x:v>0.03330079857120448</x:v>
      </x:c>
      <x:c r="J17" s="103" t="n">
        <x:f>(D17/SUMIF($A$4:$A$802,A17,$D$4:$D$802))/(SUMIF($C$4:$C$802,C17,$D$4:$D$802)/SUM($D$4:$D$802))</x:f>
        <x:v>0.8911920931718632</x:v>
      </x:c>
    </x:row>
    <x:row r="18">
      <x:c r="A18" s="101" t="str">
        <x:v>北海道</x:v>
      </x:c>
      <x:c r="B18" s="101" t="str">
        <x:v>P</x:v>
      </x:c>
      <x:c r="C18" s="101" t="str">
        <x:v>医療，福祉</x:v>
      </x:c>
      <x:c r="D18" s="102" t="n">
        <x:v>352552</x:v>
      </x:c>
      <x:c r="E18" s="102" t="n">
        <x:f>1+COUNTIFS($C$4:$C$802,C18,$D$4:$D$802,"&gt;"&amp;D18)</x:f>
        <x:v>7</x:v>
      </x:c>
      <x:c r="F18" s="102" t="n">
        <x:v>5224614</x:v>
      </x:c>
      <x:c r="G18" s="126" t="n">
        <x:f>D18/F18*10000</x:f>
        <x:v>674.7905204097375</x:v>
      </x:c>
      <x:c r="H18" s="127" t="n">
        <x:f>1+COUNTIFS($C$4:$C$802,C18,$G$4:$G$802,"&gt;"&amp;G18)</x:f>
        <x:v>22</x:v>
      </x:c>
      <x:c r="I18" s="128" t="n">
        <x:f>D18/SUMIF($C$4:$C$802,C18,$D$4:$D$802)</x:f>
        <x:v>0.043192208956240555</x:v>
      </x:c>
      <x:c r="J18" s="103" t="n">
        <x:f>(D18/SUMIF($A$4:$A$802,A18,$D$4:$D$802))/(SUMIF($C$4:$C$802,C18,$D$4:$D$802)/SUM($D$4:$D$802))</x:f>
        <x:v>1.1559048659485724</x:v>
      </x:c>
    </x:row>
    <x:row r="19">
      <x:c r="A19" s="101" t="str">
        <x:v>北海道</x:v>
      </x:c>
      <x:c r="B19" s="101" t="str">
        <x:v>Q</x:v>
      </x:c>
      <x:c r="C19" s="101" t="str">
        <x:v>複合サービス事業</x:v>
      </x:c>
      <x:c r="D19" s="102" t="n">
        <x:v>27821</x:v>
      </x:c>
      <x:c r="E19" s="102" t="n">
        <x:f>1+COUNTIFS($C$4:$C$802,C19,$D$4:$D$802,"&gt;"&amp;D19)</x:f>
        <x:v>2</x:v>
      </x:c>
      <x:c r="F19" s="102" t="n">
        <x:v>5224614</x:v>
      </x:c>
      <x:c r="G19" s="126" t="n">
        <x:f>D19/F19*10000</x:f>
        <x:v>53.24986688011784</x:v>
      </x:c>
      <x:c r="H19" s="127" t="n">
        <x:f>1+COUNTIFS($C$4:$C$802,C19,$G$4:$G$802,"&gt;"&amp;G19)</x:f>
        <x:v>10</x:v>
      </x:c>
      <x:c r="I19" s="128" t="n">
        <x:f>D19/SUMIF($C$4:$C$802,C19,$D$4:$D$802)</x:f>
        <x:v>0.06381402390072712</x:v>
      </x:c>
      <x:c r="J19" s="103" t="n">
        <x:f>(D19/SUMIF($A$4:$A$802,A19,$D$4:$D$802))/(SUMIF($C$4:$C$802,C19,$D$4:$D$802)/SUM($D$4:$D$802))</x:f>
        <x:v>1.7077834758889183</x:v>
      </x:c>
    </x:row>
    <x:row r="20">
      <x:c r="A20" s="101" t="str">
        <x:v>北海道</x:v>
      </x:c>
      <x:c r="B20" s="101" t="str">
        <x:v>R</x:v>
      </x:c>
      <x:c r="C20" s="101" t="str">
        <x:v>サービス業（他に分類されないもの）</x:v>
      </x:c>
      <x:c r="D20" s="102" t="n">
        <x:v>211520</x:v>
      </x:c>
      <x:c r="E20" s="102" t="n">
        <x:f>1+COUNTIFS($C$4:$C$802,C20,$D$4:$D$802,"&gt;"&amp;D20)</x:f>
        <x:v>7</x:v>
      </x:c>
      <x:c r="F20" s="102" t="n">
        <x:v>5224614</x:v>
      </x:c>
      <x:c r="G20" s="126" t="n">
        <x:f>D20/F20*10000</x:f>
        <x:v>404.8528752554734</x:v>
      </x:c>
      <x:c r="H20" s="127" t="n">
        <x:f>1+COUNTIFS($C$4:$C$802,C20,$G$4:$G$802,"&gt;"&amp;G20)</x:f>
        <x:v>8</x:v>
      </x:c>
      <x:c r="I20" s="128" t="n">
        <x:f>D20/SUMIF($C$4:$C$802,C20,$D$4:$D$802)</x:f>
        <x:v>0.040410084409926224</x:v>
      </x:c>
      <x:c r="J20" s="103" t="n">
        <x:f>(D20/SUMIF($A$4:$A$802,A20,$D$4:$D$802))/(SUMIF($C$4:$C$802,C20,$D$4:$D$802)/SUM($D$4:$D$802))</x:f>
        <x:v>1.0814499728446374</x:v>
      </x:c>
    </x:row>
    <x:row r="21">
      <x:c r="A21" s="101" t="str">
        <x:v>青森県</x:v>
      </x:c>
      <x:c r="B21" s="101" t="str">
        <x:v>AB</x:v>
      </x:c>
      <x:c r="C21" s="101" t="str">
        <x:v>農林漁業</x:v>
      </x:c>
      <x:c r="D21" s="102" t="n">
        <x:v>10490</x:v>
      </x:c>
      <x:c r="E21" s="102" t="n">
        <x:f>1+COUNTIFS($C$4:$C$802,C21,$D$4:$D$802,"&gt;"&amp;D21)</x:f>
        <x:v>17</x:v>
      </x:c>
      <x:c r="F21" s="102" t="n">
        <x:v>1237984</x:v>
      </x:c>
      <x:c r="G21" s="126" t="n">
        <x:f>D21/F21*10000</x:f>
        <x:v>84.73453614909401</x:v>
      </x:c>
      <x:c r="H21" s="127" t="n">
        <x:f>1+COUNTIFS($C$4:$C$802,C21,$G$4:$G$802,"&gt;"&amp;G21)</x:f>
        <x:v>9</x:v>
      </x:c>
      <x:c r="I21" s="128" t="n">
        <x:f>D21/SUMIF($C$4:$C$802,C21,$D$4:$D$802)</x:f>
        <x:v>0.02312085218744421</x:v>
      </x:c>
      <x:c r="J21" s="103" t="n">
        <x:f>(D21/SUMIF($A$4:$A$802,A21,$D$4:$D$802))/(SUMIF($C$4:$C$802,C21,$D$4:$D$802)/SUM($D$4:$D$802))</x:f>
        <x:v>2.6882083291332894</x:v>
      </x:c>
    </x:row>
    <x:row r="22">
      <x:c r="A22" s="101" t="str">
        <x:v>青森県</x:v>
      </x:c>
      <x:c r="B22" s="101" t="str">
        <x:v>C</x:v>
      </x:c>
      <x:c r="C22" s="101" t="str">
        <x:v>鉱業，採石業，砂利採取業</x:v>
      </x:c>
      <x:c r="D22" s="102" t="n">
        <x:v>400</x:v>
      </x:c>
      <x:c r="E22" s="102" t="n">
        <x:f>1+COUNTIFS($C$4:$C$802,C22,$D$4:$D$802,"&gt;"&amp;D22)</x:f>
        <x:v>23</x:v>
      </x:c>
      <x:c r="F22" s="102" t="n">
        <x:v>1237984</x:v>
      </x:c>
      <x:c r="G22" s="126" t="n">
        <x:f>D22/F22*10000</x:f>
        <x:v>3.231059529040763</x:v>
      </x:c>
      <x:c r="H22" s="127" t="n">
        <x:f>1+COUNTIFS($C$4:$C$802,C22,$G$4:$G$802,"&gt;"&amp;G22)</x:f>
        <x:v>9</x:v>
      </x:c>
      <x:c r="I22" s="128" t="n">
        <x:f>D22/SUMIF($C$4:$C$802,C22,$D$4:$D$802)</x:f>
        <x:v>0.020307661065136824</x:v>
      </x:c>
      <x:c r="J22" s="103" t="n">
        <x:f>(D22/SUMIF($A$4:$A$802,A22,$D$4:$D$802))/(SUMIF($C$4:$C$802,C22,$D$4:$D$802)/SUM($D$4:$D$802))</x:f>
        <x:v>2.361125064852169</x:v>
      </x:c>
    </x:row>
    <x:row r="23">
      <x:c r="A23" s="101" t="str">
        <x:v>青森県</x:v>
      </x:c>
      <x:c r="B23" s="101" t="str">
        <x:v>D</x:v>
      </x:c>
      <x:c r="C23" s="101" t="str">
        <x:v>建設業</x:v>
      </x:c>
      <x:c r="D23" s="102" t="n">
        <x:v>50709</x:v>
      </x:c>
      <x:c r="E23" s="102" t="n">
        <x:f>1+COUNTIFS($C$4:$C$802,C23,$D$4:$D$802,"&gt;"&amp;D23)</x:f>
        <x:v>24</x:v>
      </x:c>
      <x:c r="F23" s="102" t="n">
        <x:v>1237984</x:v>
      </x:c>
      <x:c r="G23" s="126" t="n">
        <x:f>D23/F23*10000</x:f>
        <x:v>409.6094941453202</x:v>
      </x:c>
      <x:c r="H23" s="127" t="n">
        <x:f>1+COUNTIFS($C$4:$C$802,C23,$G$4:$G$802,"&gt;"&amp;G23)</x:f>
        <x:v>5</x:v>
      </x:c>
      <x:c r="I23" s="128" t="n">
        <x:f>D23/SUMIF($C$4:$C$802,C23,$D$4:$D$802)</x:f>
        <x:v>0.013567933986458555</x:v>
      </x:c>
      <x:c r="J23" s="103" t="n">
        <x:f>(D23/SUMIF($A$4:$A$802,A23,$D$4:$D$802))/(SUMIF($C$4:$C$802,C23,$D$4:$D$802)/SUM($D$4:$D$802))</x:f>
        <x:v>1.5775124920064771</x:v>
      </x:c>
    </x:row>
    <x:row r="24">
      <x:c r="A24" s="101" t="str">
        <x:v>青森県</x:v>
      </x:c>
      <x:c r="B24" s="101" t="str">
        <x:v>E</x:v>
      </x:c>
      <x:c r="C24" s="101" t="str">
        <x:v>製造業</x:v>
      </x:c>
      <x:c r="D24" s="102" t="n">
        <x:v>60863</x:v>
      </x:c>
      <x:c r="E24" s="102" t="n">
        <x:f>1+COUNTIFS($C$4:$C$802,C24,$D$4:$D$802,"&gt;"&amp;D24)</x:f>
        <x:v>40</x:v>
      </x:c>
      <x:c r="F24" s="102" t="n">
        <x:v>1237984</x:v>
      </x:c>
      <x:c r="G24" s="126" t="n">
        <x:f>D24/F24*10000</x:f>
        <x:v>491.6299402900199</x:v>
      </x:c>
      <x:c r="H24" s="127" t="n">
        <x:f>1+COUNTIFS($C$4:$C$802,C24,$G$4:$G$802,"&gt;"&amp;G24)</x:f>
        <x:v>39</x:v>
      </x:c>
      <x:c r="I24" s="128" t="n">
        <x:f>D24/SUMIF($C$4:$C$802,C24,$D$4:$D$802)</x:f>
        <x:v>0.006913388014484458</x:v>
      </x:c>
      <x:c r="J24" s="103" t="n">
        <x:f>(D24/SUMIF($A$4:$A$802,A24,$D$4:$D$802))/(SUMIF($C$4:$C$802,C24,$D$4:$D$802)/SUM($D$4:$D$802))</x:f>
        <x:v>0.8038037306064248</x:v>
      </x:c>
    </x:row>
    <x:row r="25">
      <x:c r="A25" s="101" t="str">
        <x:v>青森県</x:v>
      </x:c>
      <x:c r="B25" s="101" t="str">
        <x:v>F</x:v>
      </x:c>
      <x:c r="C25" s="101" t="str">
        <x:v>電気・ガス・熱供給・水道業</x:v>
      </x:c>
      <x:c r="D25" s="102" t="n">
        <x:v>1711</x:v>
      </x:c>
      <x:c r="E25" s="102" t="n">
        <x:f>1+COUNTIFS($C$4:$C$802,C25,$D$4:$D$802,"&gt;"&amp;D25)</x:f>
        <x:v>33</x:v>
      </x:c>
      <x:c r="F25" s="102" t="n">
        <x:v>1237984</x:v>
      </x:c>
      <x:c r="G25" s="126" t="n">
        <x:f>D25/F25*10000</x:f>
        <x:v>13.820857135471863</x:v>
      </x:c>
      <x:c r="H25" s="127" t="n">
        <x:f>1+COUNTIFS($C$4:$C$802,C25,$G$4:$G$802,"&gt;"&amp;G25)</x:f>
        <x:v>29</x:v>
      </x:c>
      <x:c r="I25" s="128" t="n">
        <x:f>D25/SUMIF($C$4:$C$802,C25,$D$4:$D$802)</x:f>
        <x:v>0.008464053742536446</x:v>
      </x:c>
      <x:c r="J25" s="103" t="n">
        <x:f>(D25/SUMIF($A$4:$A$802,A25,$D$4:$D$802))/(SUMIF($C$4:$C$802,C25,$D$4:$D$802)/SUM($D$4:$D$802))</x:f>
        <x:v>0.9840960698357983</x:v>
      </x:c>
    </x:row>
    <x:row r="26">
      <x:c r="A26" s="101" t="str">
        <x:v>青森県</x:v>
      </x:c>
      <x:c r="B26" s="101" t="str">
        <x:v>G</x:v>
      </x:c>
      <x:c r="C26" s="101" t="str">
        <x:v>情報通信業</x:v>
      </x:c>
      <x:c r="D26" s="102" t="n">
        <x:v>6018</x:v>
      </x:c>
      <x:c r="E26" s="102" t="n">
        <x:f>1+COUNTIFS($C$4:$C$802,C26,$D$4:$D$802,"&gt;"&amp;D26)</x:f>
        <x:v>29</x:v>
      </x:c>
      <x:c r="F26" s="102" t="n">
        <x:v>1237984</x:v>
      </x:c>
      <x:c r="G26" s="126" t="n">
        <x:f>D26/F26*10000</x:f>
        <x:v>48.61129061441828</x:v>
      </x:c>
      <x:c r="H26" s="127" t="n">
        <x:f>1+COUNTIFS($C$4:$C$802,C26,$G$4:$G$802,"&gt;"&amp;G26)</x:f>
        <x:v>28</x:v>
      </x:c>
      <x:c r="I26" s="128" t="n">
        <x:f>D26/SUMIF($C$4:$C$802,C26,$D$4:$D$802)</x:f>
        <x:v>0.00302893188627765</x:v>
      </x:c>
      <x:c r="J26" s="103" t="n">
        <x:f>(D26/SUMIF($A$4:$A$802,A26,$D$4:$D$802))/(SUMIF($C$4:$C$802,C26,$D$4:$D$802)/SUM($D$4:$D$802))</x:f>
        <x:v>0.35216694692121775</x:v>
      </x:c>
    </x:row>
    <x:row r="27">
      <x:c r="A27" s="101" t="str">
        <x:v>青森県</x:v>
      </x:c>
      <x:c r="B27" s="101" t="str">
        <x:v>H</x:v>
      </x:c>
      <x:c r="C27" s="101" t="str">
        <x:v>運輸業，郵便業</x:v>
      </x:c>
      <x:c r="D27" s="102" t="n">
        <x:v>28130</x:v>
      </x:c>
      <x:c r="E27" s="102" t="n">
        <x:f>1+COUNTIFS($C$4:$C$802,C27,$D$4:$D$802,"&gt;"&amp;D27)</x:f>
        <x:v>30</x:v>
      </x:c>
      <x:c r="F27" s="102" t="n">
        <x:v>1237984</x:v>
      </x:c>
      <x:c r="G27" s="126" t="n">
        <x:f>D27/F27*10000</x:f>
        <x:v>227.22426137979167</x:v>
      </x:c>
      <x:c r="H27" s="127" t="n">
        <x:f>1+COUNTIFS($C$4:$C$802,C27,$G$4:$G$802,"&gt;"&amp;G27)</x:f>
        <x:v>26</x:v>
      </x:c>
      <x:c r="I27" s="128" t="n">
        <x:f>D27/SUMIF($C$4:$C$802,C27,$D$4:$D$802)</x:f>
        <x:v>0.008616322187351252</x:v>
      </x:c>
      <x:c r="J27" s="103" t="n">
        <x:f>(D27/SUMIF($A$4:$A$802,A27,$D$4:$D$802))/(SUMIF($C$4:$C$802,C27,$D$4:$D$802)/SUM($D$4:$D$802))</x:f>
        <x:v>1.0017999718501722</x:v>
      </x:c>
    </x:row>
    <x:row r="28">
      <x:c r="A28" s="101" t="str">
        <x:v>青森県</x:v>
      </x:c>
      <x:c r="B28" s="101" t="str">
        <x:v>I</x:v>
      </x:c>
      <x:c r="C28" s="101" t="str">
        <x:v>卸売業，小売業</x:v>
      </x:c>
      <x:c r="D28" s="102" t="n">
        <x:v>106856</x:v>
      </x:c>
      <x:c r="E28" s="102" t="n">
        <x:f>1+COUNTIFS($C$4:$C$802,C28,$D$4:$D$802,"&gt;"&amp;D28)</x:f>
        <x:v>31</x:v>
      </x:c>
      <x:c r="F28" s="102" t="n">
        <x:v>1237984</x:v>
      </x:c>
      <x:c r="G28" s="126" t="n">
        <x:f>D28/F28*10000</x:f>
        <x:v>863.1452425879495</x:v>
      </x:c>
      <x:c r="H28" s="127" t="n">
        <x:f>1+COUNTIFS($C$4:$C$802,C28,$G$4:$G$802,"&gt;"&amp;G28)</x:f>
        <x:v>17</x:v>
      </x:c>
      <x:c r="I28" s="128" t="n">
        <x:f>D28/SUMIF($C$4:$C$802,C28,$D$4:$D$802)</x:f>
        <x:v>0.009202264844310038</x:v>
      </x:c>
      <x:c r="J28" s="103" t="n">
        <x:f>(D28/SUMIF($A$4:$A$802,A28,$D$4:$D$802))/(SUMIF($C$4:$C$802,C28,$D$4:$D$802)/SUM($D$4:$D$802))</x:f>
        <x:v>1.0699261774961075</x:v>
      </x:c>
    </x:row>
    <x:row r="29">
      <x:c r="A29" s="101" t="str">
        <x:v>青森県</x:v>
      </x:c>
      <x:c r="B29" s="101" t="str">
        <x:v>J</x:v>
      </x:c>
      <x:c r="C29" s="101" t="str">
        <x:v>金融業，保険業</x:v>
      </x:c>
      <x:c r="D29" s="102" t="n">
        <x:v>12644</x:v>
      </x:c>
      <x:c r="E29" s="102" t="n">
        <x:f>1+COUNTIFS($C$4:$C$802,C29,$D$4:$D$802,"&gt;"&amp;D29)</x:f>
        <x:v>27</x:v>
      </x:c>
      <x:c r="F29" s="102" t="n">
        <x:v>1237984</x:v>
      </x:c>
      <x:c r="G29" s="126" t="n">
        <x:f>D29/F29*10000</x:f>
        <x:v>102.13379171297852</x:v>
      </x:c>
      <x:c r="H29" s="127" t="n">
        <x:f>1+COUNTIFS($C$4:$C$802,C29,$G$4:$G$802,"&gt;"&amp;G29)</x:f>
        <x:v>22</x:v>
      </x:c>
      <x:c r="I29" s="128" t="n">
        <x:f>D29/SUMIF($C$4:$C$802,C29,$D$4:$D$802)</x:f>
        <x:v>0.008460716952750068</x:v>
      </x:c>
      <x:c r="J29" s="103" t="n">
        <x:f>(D29/SUMIF($A$4:$A$802,A29,$D$4:$D$802))/(SUMIF($C$4:$C$802,C29,$D$4:$D$802)/SUM($D$4:$D$802))</x:f>
        <x:v>0.9837081089585958</x:v>
      </x:c>
    </x:row>
    <x:row r="30">
      <x:c r="A30" s="101" t="str">
        <x:v>青森県</x:v>
      </x:c>
      <x:c r="B30" s="101" t="str">
        <x:v>K</x:v>
      </x:c>
      <x:c r="C30" s="101" t="str">
        <x:v>不動産業，物品賃貸業</x:v>
      </x:c>
      <x:c r="D30" s="102" t="n">
        <x:v>9023</x:v>
      </x:c>
      <x:c r="E30" s="102" t="n">
        <x:f>1+COUNTIFS($C$4:$C$802,C30,$D$4:$D$802,"&gt;"&amp;D30)</x:f>
        <x:v>36</x:v>
      </x:c>
      <x:c r="F30" s="102" t="n">
        <x:v>1237984</x:v>
      </x:c>
      <x:c r="G30" s="126" t="n">
        <x:f>D30/F30*10000</x:f>
        <x:v>72.88462532633702</x:v>
      </x:c>
      <x:c r="H30" s="127" t="n">
        <x:f>1+COUNTIFS($C$4:$C$802,C30,$G$4:$G$802,"&gt;"&amp;G30)</x:f>
        <x:v>41</x:v>
      </x:c>
      <x:c r="I30" s="128" t="n">
        <x:f>D30/SUMIF($C$4:$C$802,C30,$D$4:$D$802)</x:f>
        <x:v>0.0055761622309098485</x:v>
      </x:c>
      <x:c r="J30" s="103" t="n">
        <x:f>(D30/SUMIF($A$4:$A$802,A30,$D$4:$D$802))/(SUMIF($C$4:$C$802,C30,$D$4:$D$802)/SUM($D$4:$D$802))</x:f>
        <x:v>0.648327563024281</x:v>
      </x:c>
    </x:row>
    <x:row r="31">
      <x:c r="A31" s="101" t="str">
        <x:v>青森県</x:v>
      </x:c>
      <x:c r="B31" s="101" t="str">
        <x:v>L</x:v>
      </x:c>
      <x:c r="C31" s="101" t="str">
        <x:v>学術研究，専門・技術サービス業</x:v>
      </x:c>
      <x:c r="D31" s="102" t="n">
        <x:v>12415</x:v>
      </x:c>
      <x:c r="E31" s="102" t="n">
        <x:f>1+COUNTIFS($C$4:$C$802,C31,$D$4:$D$802,"&gt;"&amp;D31)</x:f>
        <x:v>32</x:v>
      </x:c>
      <x:c r="F31" s="102" t="n">
        <x:v>1237984</x:v>
      </x:c>
      <x:c r="G31" s="126" t="n">
        <x:f>D31/F31*10000</x:f>
        <x:v>100.28401013260269</x:v>
      </x:c>
      <x:c r="H31" s="127" t="n">
        <x:f>1+COUNTIFS($C$4:$C$802,C31,$G$4:$G$802,"&gt;"&amp;G31)</x:f>
        <x:v>31</x:v>
      </x:c>
      <x:c r="I31" s="128" t="n">
        <x:f>D31/SUMIF($C$4:$C$802,C31,$D$4:$D$802)</x:f>
        <x:v>0.005859116908613822</x:v>
      </x:c>
      <x:c r="J31" s="103" t="n">
        <x:f>(D31/SUMIF($A$4:$A$802,A31,$D$4:$D$802))/(SUMIF($C$4:$C$802,C31,$D$4:$D$802)/SUM($D$4:$D$802))</x:f>
        <x:v>0.6812260528898109</x:v>
      </x:c>
    </x:row>
    <x:row r="32">
      <x:c r="A32" s="101" t="str">
        <x:v>青森県</x:v>
      </x:c>
      <x:c r="B32" s="101" t="str">
        <x:v>M</x:v>
      </x:c>
      <x:c r="C32" s="101" t="str">
        <x:v>宿泊業，飲食サービス業</x:v>
      </x:c>
      <x:c r="D32" s="102" t="n">
        <x:v>36321</x:v>
      </x:c>
      <x:c r="E32" s="102" t="n">
        <x:f>1+COUNTIFS($C$4:$C$802,C32,$D$4:$D$802,"&gt;"&amp;D32)</x:f>
        <x:v>35</x:v>
      </x:c>
      <x:c r="F32" s="102" t="n">
        <x:v>1237984</x:v>
      </x:c>
      <x:c r="G32" s="126" t="n">
        <x:f>D32/F32*10000</x:f>
        <x:v>293.38828288572387</x:v>
      </x:c>
      <x:c r="H32" s="127" t="n">
        <x:f>1+COUNTIFS($C$4:$C$802,C32,$G$4:$G$802,"&gt;"&amp;G32)</x:f>
        <x:v>44</x:v>
      </x:c>
      <x:c r="I32" s="128" t="n">
        <x:f>D32/SUMIF($C$4:$C$802,C32,$D$4:$D$802)</x:f>
        <x:v>0.007762989130190848</x:v>
      </x:c>
      <x:c r="J32" s="103" t="n">
        <x:f>(D32/SUMIF($A$4:$A$802,A32,$D$4:$D$802))/(SUMIF($C$4:$C$802,C32,$D$4:$D$802)/SUM($D$4:$D$802))</x:f>
        <x:v>0.902584899101725</x:v>
      </x:c>
    </x:row>
    <x:row r="33">
      <x:c r="A33" s="101" t="str">
        <x:v>青森県</x:v>
      </x:c>
      <x:c r="B33" s="101" t="str">
        <x:v>N</x:v>
      </x:c>
      <x:c r="C33" s="101" t="str">
        <x:v>生活関連サービス業，娯楽業</x:v>
      </x:c>
      <x:c r="D33" s="102" t="n">
        <x:v>21542</x:v>
      </x:c>
      <x:c r="E33" s="102" t="n">
        <x:f>1+COUNTIFS($C$4:$C$802,C33,$D$4:$D$802,"&gt;"&amp;D33)</x:f>
        <x:v>28</x:v>
      </x:c>
      <x:c r="F33" s="102" t="n">
        <x:v>1237984</x:v>
      </x:c>
      <x:c r="G33" s="126" t="n">
        <x:f>D33/F33*10000</x:f>
        <x:v>174.00871093649027</x:v>
      </x:c>
      <x:c r="H33" s="127" t="n">
        <x:f>1+COUNTIFS($C$4:$C$802,C33,$G$4:$G$802,"&gt;"&amp;G33)</x:f>
        <x:v>12</x:v>
      </x:c>
      <x:c r="I33" s="128" t="n">
        <x:f>D33/SUMIF($C$4:$C$802,C33,$D$4:$D$802)</x:f>
        <x:v>0.009899183829709408</x:v>
      </x:c>
      <x:c r="J33" s="103" t="n">
        <x:f>(D33/SUMIF($A$4:$A$802,A33,$D$4:$D$802))/(SUMIF($C$4:$C$802,C33,$D$4:$D$802)/SUM($D$4:$D$802))</x:f>
        <x:v>1.1509553457159145</x:v>
      </x:c>
    </x:row>
    <x:row r="34">
      <x:c r="A34" s="101" t="str">
        <x:v>青森県</x:v>
      </x:c>
      <x:c r="B34" s="101" t="str">
        <x:v>O</x:v>
      </x:c>
      <x:c r="C34" s="101" t="str">
        <x:v>教育，学習支援業</x:v>
      </x:c>
      <x:c r="D34" s="102" t="n">
        <x:v>16017</x:v>
      </x:c>
      <x:c r="E34" s="102" t="n">
        <x:f>1+COUNTIFS($C$4:$C$802,C34,$D$4:$D$802,"&gt;"&amp;D34)</x:f>
        <x:v>30</x:v>
      </x:c>
      <x:c r="F34" s="102" t="n">
        <x:v>1237984</x:v>
      </x:c>
      <x:c r="G34" s="126" t="n">
        <x:f>D34/F34*10000</x:f>
        <x:v>129.37970119161477</x:v>
      </x:c>
      <x:c r="H34" s="127" t="n">
        <x:f>1+COUNTIFS($C$4:$C$802,C34,$G$4:$G$802,"&gt;"&amp;G34)</x:f>
        <x:v>25</x:v>
      </x:c>
      <x:c r="I34" s="128" t="n">
        <x:f>D34/SUMIF($C$4:$C$802,C34,$D$4:$D$802)</x:f>
        <x:v>0.00821075554124755</x:v>
      </x:c>
      <x:c r="J34" s="103" t="n">
        <x:f>(D34/SUMIF($A$4:$A$802,A34,$D$4:$D$802))/(SUMIF($C$4:$C$802,C34,$D$4:$D$802)/SUM($D$4:$D$802))</x:f>
        <x:v>0.9546456703029876</x:v>
      </x:c>
    </x:row>
    <x:row r="35">
      <x:c r="A35" s="101" t="str">
        <x:v>青森県</x:v>
      </x:c>
      <x:c r="B35" s="101" t="str">
        <x:v>P</x:v>
      </x:c>
      <x:c r="C35" s="101" t="str">
        <x:v>医療，福祉</x:v>
      </x:c>
      <x:c r="D35" s="102" t="n">
        <x:v>77912</x:v>
      </x:c>
      <x:c r="E35" s="102" t="n">
        <x:f>1+COUNTIFS($C$4:$C$802,C35,$D$4:$D$802,"&gt;"&amp;D35)</x:f>
        <x:v>33</x:v>
      </x:c>
      <x:c r="F35" s="102" t="n">
        <x:v>1237984</x:v>
      </x:c>
      <x:c r="G35" s="126" t="n">
        <x:f>D35/F35*10000</x:f>
        <x:v>629.3457750665599</x:v>
      </x:c>
      <x:c r="H35" s="127" t="n">
        <x:f>1+COUNTIFS($C$4:$C$802,C35,$G$4:$G$802,"&gt;"&amp;G35)</x:f>
        <x:v>27</x:v>
      </x:c>
      <x:c r="I35" s="128" t="n">
        <x:f>D35/SUMIF($C$4:$C$802,C35,$D$4:$D$802)</x:f>
        <x:v>0.009545234133400504</x:v>
      </x:c>
      <x:c r="J35" s="103" t="n">
        <x:f>(D35/SUMIF($A$4:$A$802,A35,$D$4:$D$802))/(SUMIF($C$4:$C$802,C35,$D$4:$D$802)/SUM($D$4:$D$802))</x:f>
        <x:v>1.1098024282543124</x:v>
      </x:c>
    </x:row>
    <x:row r="36">
      <x:c r="A36" s="101" t="str">
        <x:v>青森県</x:v>
      </x:c>
      <x:c r="B36" s="101" t="str">
        <x:v>Q</x:v>
      </x:c>
      <x:c r="C36" s="101" t="str">
        <x:v>複合サービス事業</x:v>
      </x:c>
      <x:c r="D36" s="102" t="n">
        <x:v>5703</x:v>
      </x:c>
      <x:c r="E36" s="102" t="n">
        <x:f>1+COUNTIFS($C$4:$C$802,C36,$D$4:$D$802,"&gt;"&amp;D36)</x:f>
        <x:v>31</x:v>
      </x:c>
      <x:c r="F36" s="102" t="n">
        <x:v>1237984</x:v>
      </x:c>
      <x:c r="G36" s="126" t="n">
        <x:f>D36/F36*10000</x:f>
        <x:v>46.06683123529868</x:v>
      </x:c>
      <x:c r="H36" s="127" t="n">
        <x:f>1+COUNTIFS($C$4:$C$802,C36,$G$4:$G$802,"&gt;"&amp;G36)</x:f>
        <x:v>17</x:v>
      </x:c>
      <x:c r="I36" s="128" t="n">
        <x:f>D36/SUMIF($C$4:$C$802,C36,$D$4:$D$802)</x:f>
        <x:v>0.013081175310227768</x:v>
      </x:c>
      <x:c r="J36" s="103" t="n">
        <x:f>(D36/SUMIF($A$4:$A$802,A36,$D$4:$D$802))/(SUMIF($C$4:$C$802,C36,$D$4:$D$802)/SUM($D$4:$D$802))</x:f>
        <x:v>1.5209181797764082</x:v>
      </x:c>
    </x:row>
    <x:row r="37">
      <x:c r="A37" s="101" t="str">
        <x:v>青森県</x:v>
      </x:c>
      <x:c r="B37" s="101" t="str">
        <x:v>R</x:v>
      </x:c>
      <x:c r="C37" s="101" t="str">
        <x:v>サービス業（他に分類されないもの）</x:v>
      </x:c>
      <x:c r="D37" s="102" t="n">
        <x:v>41664</x:v>
      </x:c>
      <x:c r="E37" s="102" t="n">
        <x:f>1+COUNTIFS($C$4:$C$802,C37,$D$4:$D$802,"&gt;"&amp;D37)</x:f>
        <x:v>27</x:v>
      </x:c>
      <x:c r="F37" s="102" t="n">
        <x:v>1237984</x:v>
      </x:c>
      <x:c r="G37" s="126" t="n">
        <x:f>D37/F37*10000</x:f>
        <x:v>336.5471605448859</x:v>
      </x:c>
      <x:c r="H37" s="127" t="n">
        <x:f>1+COUNTIFS($C$4:$C$802,C37,$G$4:$G$802,"&gt;"&amp;G37)</x:f>
        <x:v>25</x:v>
      </x:c>
      <x:c r="I37" s="128" t="n">
        <x:f>D37/SUMIF($C$4:$C$802,C37,$D$4:$D$802)</x:f>
        <x:v>0.007959747337628434</x:v>
      </x:c>
      <x:c r="J37" s="103" t="n">
        <x:f>(D37/SUMIF($A$4:$A$802,A37,$D$4:$D$802))/(SUMIF($C$4:$C$802,C37,$D$4:$D$802)/SUM($D$4:$D$802))</x:f>
        <x:v>0.9254615235345512</x:v>
      </x:c>
    </x:row>
    <x:row r="38">
      <x:c r="A38" s="101" t="str">
        <x:v>岩手県</x:v>
      </x:c>
      <x:c r="B38" s="101" t="str">
        <x:v>AB</x:v>
      </x:c>
      <x:c r="C38" s="101" t="str">
        <x:v>農林漁業</x:v>
      </x:c>
      <x:c r="D38" s="102" t="n">
        <x:v>13210</x:v>
      </x:c>
      <x:c r="E38" s="102" t="n">
        <x:f>1+COUNTIFS($C$4:$C$802,C38,$D$4:$D$802,"&gt;"&amp;D38)</x:f>
        <x:v>7</x:v>
      </x:c>
      <x:c r="F38" s="102" t="n">
        <x:v>1210534</x:v>
      </x:c>
      <x:c r="G38" s="126" t="n">
        <x:f>D38/F38*10000</x:f>
        <x:v>109.12539424749738</x:v>
      </x:c>
      <x:c r="H38" s="127" t="n">
        <x:f>1+COUNTIFS($C$4:$C$802,C38,$G$4:$G$802,"&gt;"&amp;G38)</x:f>
        <x:v>4</x:v>
      </x:c>
      <x:c r="I38" s="128" t="n">
        <x:f>D38/SUMIF($C$4:$C$802,C38,$D$4:$D$802)</x:f>
        <x:v>0.029115963526800574</x:v>
      </x:c>
      <x:c r="J38" s="103" t="n">
        <x:f>(D38/SUMIF($A$4:$A$802,A38,$D$4:$D$802))/(SUMIF($C$4:$C$802,C38,$D$4:$D$802)/SUM($D$4:$D$802))</x:f>
        <x:v>3.256223594943702</x:v>
      </x:c>
    </x:row>
    <x:row r="39">
      <x:c r="A39" s="101" t="str">
        <x:v>岩手県</x:v>
      </x:c>
      <x:c r="B39" s="101" t="str">
        <x:v>C</x:v>
      </x:c>
      <x:c r="C39" s="101" t="str">
        <x:v>鉱業，採石業，砂利採取業</x:v>
      </x:c>
      <x:c r="D39" s="102" t="n">
        <x:v>862</x:v>
      </x:c>
      <x:c r="E39" s="102" t="n">
        <x:f>1+COUNTIFS($C$4:$C$802,C39,$D$4:$D$802,"&gt;"&amp;D39)</x:f>
        <x:v>5</x:v>
      </x:c>
      <x:c r="F39" s="102" t="n">
        <x:v>1210534</x:v>
      </x:c>
      <x:c r="G39" s="126" t="n">
        <x:f>D39/F39*10000</x:f>
        <x:v>7.120824363462736</x:v>
      </x:c>
      <x:c r="H39" s="127" t="n">
        <x:f>1+COUNTIFS($C$4:$C$802,C39,$G$4:$G$802,"&gt;"&amp;G39)</x:f>
        <x:v>1</x:v>
      </x:c>
      <x:c r="I39" s="128" t="n">
        <x:f>D39/SUMIF($C$4:$C$802,C39,$D$4:$D$802)</x:f>
        <x:v>0.043763009595369856</x:v>
      </x:c>
      <x:c r="J39" s="103" t="n">
        <x:f>(D39/SUMIF($A$4:$A$802,A39,$D$4:$D$802))/(SUMIF($C$4:$C$802,C39,$D$4:$D$802)/SUM($D$4:$D$802))</x:f>
        <x:v>4.89429602077297</x:v>
      </x:c>
    </x:row>
    <x:row r="40">
      <x:c r="A40" s="101" t="str">
        <x:v>岩手県</x:v>
      </x:c>
      <x:c r="B40" s="101" t="str">
        <x:v>D</x:v>
      </x:c>
      <x:c r="C40" s="101" t="str">
        <x:v>建設業</x:v>
      </x:c>
      <x:c r="D40" s="102" t="n">
        <x:v>48016</x:v>
      </x:c>
      <x:c r="E40" s="102" t="n">
        <x:f>1+COUNTIFS($C$4:$C$802,C40,$D$4:$D$802,"&gt;"&amp;D40)</x:f>
        <x:v>25</x:v>
      </x:c>
      <x:c r="F40" s="102" t="n">
        <x:v>1210534</x:v>
      </x:c>
      <x:c r="G40" s="126" t="n">
        <x:f>D40/F40*10000</x:f>
        <x:v>396.65139516940457</x:v>
      </x:c>
      <x:c r="H40" s="127" t="n">
        <x:f>1+COUNTIFS($C$4:$C$802,C40,$G$4:$G$802,"&gt;"&amp;G40)</x:f>
        <x:v>6</x:v>
      </x:c>
      <x:c r="I40" s="128" t="n">
        <x:f>D40/SUMIF($C$4:$C$802,C40,$D$4:$D$802)</x:f>
        <x:v>0.01284738248227719</x:v>
      </x:c>
      <x:c r="J40" s="103" t="n">
        <x:f>(D40/SUMIF($A$4:$A$802,A40,$D$4:$D$802))/(SUMIF($C$4:$C$802,C40,$D$4:$D$802)/SUM($D$4:$D$802))</x:f>
        <x:v>1.4368045877496096</x:v>
      </x:c>
    </x:row>
    <x:row r="41">
      <x:c r="A41" s="101" t="str">
        <x:v>岩手県</x:v>
      </x:c>
      <x:c r="B41" s="101" t="str">
        <x:v>E</x:v>
      </x:c>
      <x:c r="C41" s="101" t="str">
        <x:v>製造業</x:v>
      </x:c>
      <x:c r="D41" s="102" t="n">
        <x:v>90009</x:v>
      </x:c>
      <x:c r="E41" s="102" t="n">
        <x:f>1+COUNTIFS($C$4:$C$802,C41,$D$4:$D$802,"&gt;"&amp;D41)</x:f>
        <x:v>30</x:v>
      </x:c>
      <x:c r="F41" s="102" t="n">
        <x:v>1210534</x:v>
      </x:c>
      <x:c r="G41" s="126" t="n">
        <x:f>D41/F41*10000</x:f>
        <x:v>743.5478887829669</x:v>
      </x:c>
      <x:c r="H41" s="127" t="n">
        <x:f>1+COUNTIFS($C$4:$C$802,C41,$G$4:$G$802,"&gt;"&amp;G41)</x:f>
        <x:v>22</x:v>
      </x:c>
      <x:c r="I41" s="128" t="n">
        <x:f>D41/SUMIF($C$4:$C$802,C41,$D$4:$D$802)</x:f>
        <x:v>0.010224062924859629</x:v>
      </x:c>
      <x:c r="J41" s="103" t="n">
        <x:f>(D41/SUMIF($A$4:$A$802,A41,$D$4:$D$802))/(SUMIF($C$4:$C$802,C41,$D$4:$D$802)/SUM($D$4:$D$802))</x:f>
        <x:v>1.1434220578505905</x:v>
      </x:c>
    </x:row>
    <x:row r="42">
      <x:c r="A42" s="101" t="str">
        <x:v>岩手県</x:v>
      </x:c>
      <x:c r="B42" s="101" t="str">
        <x:v>F</x:v>
      </x:c>
      <x:c r="C42" s="101" t="str">
        <x:v>電気・ガス・熱供給・水道業</x:v>
      </x:c>
      <x:c r="D42" s="102" t="n">
        <x:v>1841</x:v>
      </x:c>
      <x:c r="E42" s="102" t="n">
        <x:f>1+COUNTIFS($C$4:$C$802,C42,$D$4:$D$802,"&gt;"&amp;D42)</x:f>
        <x:v>31</x:v>
      </x:c>
      <x:c r="F42" s="102" t="n">
        <x:v>1210534</x:v>
      </x:c>
      <x:c r="G42" s="126" t="n">
        <x:f>D42/F42*10000</x:f>
        <x:v>15.208164330782942</x:v>
      </x:c>
      <x:c r="H42" s="127" t="n">
        <x:f>1+COUNTIFS($C$4:$C$802,C42,$G$4:$G$802,"&gt;"&amp;G42)</x:f>
        <x:v>23</x:v>
      </x:c>
      <x:c r="I42" s="128" t="n">
        <x:f>D42/SUMIF($C$4:$C$802,C42,$D$4:$D$802)</x:f>
        <x:v>0.00910714374050824</x:v>
      </x:c>
      <x:c r="J42" s="103" t="n">
        <x:f>(D42/SUMIF($A$4:$A$802,A42,$D$4:$D$802))/(SUMIF($C$4:$C$802,C42,$D$4:$D$802)/SUM($D$4:$D$802))</x:f>
        <x:v>1.0185098735643807</x:v>
      </x:c>
    </x:row>
    <x:row r="43">
      <x:c r="A43" s="101" t="str">
        <x:v>岩手県</x:v>
      </x:c>
      <x:c r="B43" s="101" t="str">
        <x:v>G</x:v>
      </x:c>
      <x:c r="C43" s="101" t="str">
        <x:v>情報通信業</x:v>
      </x:c>
      <x:c r="D43" s="102" t="n">
        <x:v>5521</x:v>
      </x:c>
      <x:c r="E43" s="102" t="n">
        <x:f>1+COUNTIFS($C$4:$C$802,C43,$D$4:$D$802,"&gt;"&amp;D43)</x:f>
        <x:v>33</x:v>
      </x:c>
      <x:c r="F43" s="102" t="n">
        <x:v>1210534</x:v>
      </x:c>
      <x:c r="G43" s="126" t="n">
        <x:f>D43/F43*10000</x:f>
        <x:v>45.60797135809485</x:v>
      </x:c>
      <x:c r="H43" s="127" t="n">
        <x:f>1+COUNTIFS($C$4:$C$802,C43,$G$4:$G$802,"&gt;"&amp;G43)</x:f>
        <x:v>31</x:v>
      </x:c>
      <x:c r="I43" s="128" t="n">
        <x:f>D43/SUMIF($C$4:$C$802,C43,$D$4:$D$802)</x:f>
        <x:v>0.0027787857999566146</x:v>
      </x:c>
      <x:c r="J43" s="103" t="n">
        <x:f>(D43/SUMIF($A$4:$A$802,A43,$D$4:$D$802))/(SUMIF($C$4:$C$802,C43,$D$4:$D$802)/SUM($D$4:$D$802))</x:f>
        <x:v>0.31076930972194833</x:v>
      </x:c>
    </x:row>
    <x:row r="44">
      <x:c r="A44" s="101" t="str">
        <x:v>岩手県</x:v>
      </x:c>
      <x:c r="B44" s="101" t="str">
        <x:v>H</x:v>
      </x:c>
      <x:c r="C44" s="101" t="str">
        <x:v>運輸業，郵便業</x:v>
      </x:c>
      <x:c r="D44" s="102" t="n">
        <x:v>29551</x:v>
      </x:c>
      <x:c r="E44" s="102" t="n">
        <x:f>1+COUNTIFS($C$4:$C$802,C44,$D$4:$D$802,"&gt;"&amp;D44)</x:f>
        <x:v>27</x:v>
      </x:c>
      <x:c r="F44" s="102" t="n">
        <x:v>1210534</x:v>
      </x:c>
      <x:c r="G44" s="126" t="n">
        <x:f>D44/F44*10000</x:f>
        <x:v>244.11540691959087</x:v>
      </x:c>
      <x:c r="H44" s="127" t="n">
        <x:f>1+COUNTIFS($C$4:$C$802,C44,$G$4:$G$802,"&gt;"&amp;G44)</x:f>
        <x:v>18</x:v>
      </x:c>
      <x:c r="I44" s="128" t="n">
        <x:f>D44/SUMIF($C$4:$C$802,C44,$D$4:$D$802)</x:f>
        <x:v>0.00905157969990817</x:v>
      </x:c>
      <x:c r="J44" s="103" t="n">
        <x:f>(D44/SUMIF($A$4:$A$802,A44,$D$4:$D$802))/(SUMIF($C$4:$C$802,C44,$D$4:$D$802)/SUM($D$4:$D$802))</x:f>
        <x:v>1.0122957931041614</x:v>
      </x:c>
    </x:row>
    <x:row r="45">
      <x:c r="A45" s="101" t="str">
        <x:v>岩手県</x:v>
      </x:c>
      <x:c r="B45" s="101" t="str">
        <x:v>I</x:v>
      </x:c>
      <x:c r="C45" s="101" t="str">
        <x:v>卸売業，小売業</x:v>
      </x:c>
      <x:c r="D45" s="102" t="n">
        <x:v>104817</x:v>
      </x:c>
      <x:c r="E45" s="102" t="n">
        <x:f>1+COUNTIFS($C$4:$C$802,C45,$D$4:$D$802,"&gt;"&amp;D45)</x:f>
        <x:v>32</x:v>
      </x:c>
      <x:c r="F45" s="102" t="n">
        <x:v>1210534</x:v>
      </x:c>
      <x:c r="G45" s="126" t="n">
        <x:f>D45/F45*10000</x:f>
        <x:v>865.8740687993893</x:v>
      </x:c>
      <x:c r="H45" s="127" t="n">
        <x:f>1+COUNTIFS($C$4:$C$802,C45,$G$4:$G$802,"&gt;"&amp;G45)</x:f>
        <x:v>16</x:v>
      </x:c>
      <x:c r="I45" s="128" t="n">
        <x:f>D45/SUMIF($C$4:$C$802,C45,$D$4:$D$802)</x:f>
        <x:v>0.009026669482163335</x:v>
      </x:c>
      <x:c r="J45" s="103" t="n">
        <x:f>(D45/SUMIF($A$4:$A$802,A45,$D$4:$D$802))/(SUMIF($C$4:$C$802,C45,$D$4:$D$802)/SUM($D$4:$D$802))</x:f>
        <x:v>1.0095099248397896</x:v>
      </x:c>
    </x:row>
    <x:row r="46">
      <x:c r="A46" s="101" t="str">
        <x:v>岩手県</x:v>
      </x:c>
      <x:c r="B46" s="101" t="str">
        <x:v>J</x:v>
      </x:c>
      <x:c r="C46" s="101" t="str">
        <x:v>金融業，保険業</x:v>
      </x:c>
      <x:c r="D46" s="102" t="n">
        <x:v>11532</x:v>
      </x:c>
      <x:c r="E46" s="102" t="n">
        <x:f>1+COUNTIFS($C$4:$C$802,C46,$D$4:$D$802,"&gt;"&amp;D46)</x:f>
        <x:v>33</x:v>
      </x:c>
      <x:c r="F46" s="102" t="n">
        <x:v>1210534</x:v>
      </x:c>
      <x:c r="G46" s="126" t="n">
        <x:f>D46/F46*10000</x:f>
        <x:v>95.26374310841331</x:v>
      </x:c>
      <x:c r="H46" s="127" t="n">
        <x:f>1+COUNTIFS($C$4:$C$802,C46,$G$4:$G$802,"&gt;"&amp;G46)</x:f>
        <x:v>27</x:v>
      </x:c>
      <x:c r="I46" s="128" t="n">
        <x:f>D46/SUMIF($C$4:$C$802,C46,$D$4:$D$802)</x:f>
        <x:v>0.007716623528876446</x:v>
      </x:c>
      <x:c r="J46" s="103" t="n">
        <x:f>(D46/SUMIF($A$4:$A$802,A46,$D$4:$D$802))/(SUMIF($C$4:$C$802,C46,$D$4:$D$802)/SUM($D$4:$D$802))</x:f>
        <x:v>0.8629991442631237</x:v>
      </x:c>
    </x:row>
    <x:row r="47">
      <x:c r="A47" s="101" t="str">
        <x:v>岩手県</x:v>
      </x:c>
      <x:c r="B47" s="101" t="str">
        <x:v>K</x:v>
      </x:c>
      <x:c r="C47" s="101" t="str">
        <x:v>不動産業，物品賃貸業</x:v>
      </x:c>
      <x:c r="D47" s="102" t="n">
        <x:v>11489</x:v>
      </x:c>
      <x:c r="E47" s="102" t="n">
        <x:f>1+COUNTIFS($C$4:$C$802,C47,$D$4:$D$802,"&gt;"&amp;D47)</x:f>
        <x:v>26</x:v>
      </x:c>
      <x:c r="F47" s="102" t="n">
        <x:v>1210534</x:v>
      </x:c>
      <x:c r="G47" s="126" t="n">
        <x:f>D47/F47*10000</x:f>
        <x:v>94.90852797195288</x:v>
      </x:c>
      <x:c r="H47" s="127" t="n">
        <x:f>1+COUNTIFS($C$4:$C$802,C47,$G$4:$G$802,"&gt;"&amp;G47)</x:f>
        <x:v>18</x:v>
      </x:c>
      <x:c r="I47" s="128" t="n">
        <x:f>D47/SUMIF($C$4:$C$802,C47,$D$4:$D$802)</x:f>
        <x:v>0.0071001360823366114</x:v>
      </x:c>
      <x:c r="J47" s="103" t="n">
        <x:f>(D47/SUMIF($A$4:$A$802,A47,$D$4:$D$802))/(SUMIF($C$4:$C$802,C47,$D$4:$D$802)/SUM($D$4:$D$802))</x:f>
        <x:v>0.7940534276784119</x:v>
      </x:c>
    </x:row>
    <x:row r="48">
      <x:c r="A48" s="101" t="str">
        <x:v>岩手県</x:v>
      </x:c>
      <x:c r="B48" s="101" t="str">
        <x:v>L</x:v>
      </x:c>
      <x:c r="C48" s="101" t="str">
        <x:v>学術研究，専門・技術サービス業</x:v>
      </x:c>
      <x:c r="D48" s="102" t="n">
        <x:v>10393</x:v>
      </x:c>
      <x:c r="E48" s="102" t="n">
        <x:f>1+COUNTIFS($C$4:$C$802,C48,$D$4:$D$802,"&gt;"&amp;D48)</x:f>
        <x:v>36</x:v>
      </x:c>
      <x:c r="F48" s="102" t="n">
        <x:v>1210534</x:v>
      </x:c>
      <x:c r="G48" s="126" t="n">
        <x:f>D48/F48*10000</x:f>
        <x:v>85.8546724007752</x:v>
      </x:c>
      <x:c r="H48" s="127" t="n">
        <x:f>1+COUNTIFS($C$4:$C$802,C48,$G$4:$G$802,"&gt;"&amp;G48)</x:f>
        <x:v>45</x:v>
      </x:c>
      <x:c r="I48" s="128" t="n">
        <x:f>D48/SUMIF($C$4:$C$802,C48,$D$4:$D$802)</x:f>
        <x:v>0.004904857191399392</x:v>
      </x:c>
      <x:c r="J48" s="103" t="n">
        <x:f>(D48/SUMIF($A$4:$A$802,A48,$D$4:$D$802))/(SUMIF($C$4:$C$802,C48,$D$4:$D$802)/SUM($D$4:$D$802))</x:f>
        <x:v>0.5485414110291345</x:v>
      </x:c>
    </x:row>
    <x:row r="49">
      <x:c r="A49" s="101" t="str">
        <x:v>岩手県</x:v>
      </x:c>
      <x:c r="B49" s="101" t="str">
        <x:v>M</x:v>
      </x:c>
      <x:c r="C49" s="101" t="str">
        <x:v>宿泊業，飲食サービス業</x:v>
      </x:c>
      <x:c r="D49" s="102" t="n">
        <x:v>36772</x:v>
      </x:c>
      <x:c r="E49" s="102" t="n">
        <x:f>1+COUNTIFS($C$4:$C$802,C49,$D$4:$D$802,"&gt;"&amp;D49)</x:f>
        <x:v>34</x:v>
      </x:c>
      <x:c r="F49" s="102" t="n">
        <x:v>1210534</x:v>
      </x:c>
      <x:c r="G49" s="126" t="n">
        <x:f>D49/F49*10000</x:f>
        <x:v>303.7667673935635</x:v>
      </x:c>
      <x:c r="H49" s="127" t="n">
        <x:f>1+COUNTIFS($C$4:$C$802,C49,$G$4:$G$802,"&gt;"&amp;G49)</x:f>
        <x:v>42</x:v>
      </x:c>
      <x:c r="I49" s="128" t="n">
        <x:f>D49/SUMIF($C$4:$C$802,C49,$D$4:$D$802)</x:f>
        <x:v>0.007859382624249825</x:v>
      </x:c>
      <x:c r="J49" s="103" t="n">
        <x:f>(D49/SUMIF($A$4:$A$802,A49,$D$4:$D$802))/(SUMIF($C$4:$C$802,C49,$D$4:$D$802)/SUM($D$4:$D$802))</x:f>
        <x:v>0.8789648029066967</x:v>
      </x:c>
    </x:row>
    <x:row r="50">
      <x:c r="A50" s="101" t="str">
        <x:v>岩手県</x:v>
      </x:c>
      <x:c r="B50" s="101" t="str">
        <x:v>N</x:v>
      </x:c>
      <x:c r="C50" s="101" t="str">
        <x:v>生活関連サービス業，娯楽業</x:v>
      </x:c>
      <x:c r="D50" s="102" t="n">
        <x:v>20788</x:v>
      </x:c>
      <x:c r="E50" s="102" t="n">
        <x:f>1+COUNTIFS($C$4:$C$802,C50,$D$4:$D$802,"&gt;"&amp;D50)</x:f>
        <x:v>30</x:v>
      </x:c>
      <x:c r="F50" s="102" t="n">
        <x:v>1210534</x:v>
      </x:c>
      <x:c r="G50" s="126" t="n">
        <x:f>D50/F50*10000</x:f>
        <x:v>171.72586643580436</x:v>
      </x:c>
      <x:c r="H50" s="127" t="n">
        <x:f>1+COUNTIFS($C$4:$C$802,C50,$G$4:$G$802,"&gt;"&amp;G50)</x:f>
        <x:v>18</x:v>
      </x:c>
      <x:c r="I50" s="128" t="n">
        <x:f>D50/SUMIF($C$4:$C$802,C50,$D$4:$D$802)</x:f>
        <x:v>0.009552698609785496</x:v>
      </x:c>
      <x:c r="J50" s="103" t="n">
        <x:f>(D50/SUMIF($A$4:$A$802,A50,$D$4:$D$802))/(SUMIF($C$4:$C$802,C50,$D$4:$D$802)/SUM($D$4:$D$802))</x:f>
        <x:v>1.0683391116332912</x:v>
      </x:c>
    </x:row>
    <x:row r="51">
      <x:c r="A51" s="101" t="str">
        <x:v>岩手県</x:v>
      </x:c>
      <x:c r="B51" s="101" t="str">
        <x:v>O</x:v>
      </x:c>
      <x:c r="C51" s="101" t="str">
        <x:v>教育，学習支援業</x:v>
      </x:c>
      <x:c r="D51" s="102" t="n">
        <x:v>12887</x:v>
      </x:c>
      <x:c r="E51" s="102" t="n">
        <x:f>1+COUNTIFS($C$4:$C$802,C51,$D$4:$D$802,"&gt;"&amp;D51)</x:f>
        <x:v>36</x:v>
      </x:c>
      <x:c r="F51" s="102" t="n">
        <x:v>1210534</x:v>
      </x:c>
      <x:c r="G51" s="126" t="n">
        <x:f>D51/F51*10000</x:f>
        <x:v>106.4571503154806</x:v>
      </x:c>
      <x:c r="H51" s="127" t="n">
        <x:f>1+COUNTIFS($C$4:$C$802,C51,$G$4:$G$802,"&gt;"&amp;G51)</x:f>
        <x:v>42</x:v>
      </x:c>
      <x:c r="I51" s="128" t="n">
        <x:f>D51/SUMIF($C$4:$C$802,C51,$D$4:$D$802)</x:f>
        <x:v>0.006606231295502103</x:v>
      </x:c>
      <x:c r="J51" s="103" t="n">
        <x:f>(D51/SUMIF($A$4:$A$802,A51,$D$4:$D$802))/(SUMIF($C$4:$C$802,C51,$D$4:$D$802)/SUM($D$4:$D$802))</x:f>
        <x:v>0.7388169104645543</x:v>
      </x:c>
    </x:row>
    <x:row r="52">
      <x:c r="A52" s="101" t="str">
        <x:v>岩手県</x:v>
      </x:c>
      <x:c r="B52" s="101" t="str">
        <x:v>P</x:v>
      </x:c>
      <x:c r="C52" s="101" t="str">
        <x:v>医療，福祉</x:v>
      </x:c>
      <x:c r="D52" s="102" t="n">
        <x:v>75788</x:v>
      </x:c>
      <x:c r="E52" s="102" t="n">
        <x:f>1+COUNTIFS($C$4:$C$802,C52,$D$4:$D$802,"&gt;"&amp;D52)</x:f>
        <x:v>34</x:v>
      </x:c>
      <x:c r="F52" s="102" t="n">
        <x:v>1210534</x:v>
      </x:c>
      <x:c r="G52" s="126" t="n">
        <x:f>D52/F52*10000</x:f>
        <x:v>626.0708084200857</x:v>
      </x:c>
      <x:c r="H52" s="127" t="n">
        <x:f>1+COUNTIFS($C$4:$C$802,C52,$G$4:$G$802,"&gt;"&amp;G52)</x:f>
        <x:v>29</x:v>
      </x:c>
      <x:c r="I52" s="128" t="n">
        <x:f>D52/SUMIF($C$4:$C$802,C52,$D$4:$D$802)</x:f>
        <x:v>0.009285016486576616</x:v>
      </x:c>
      <x:c r="J52" s="103" t="n">
        <x:f>(D52/SUMIF($A$4:$A$802,A52,$D$4:$D$802))/(SUMIF($C$4:$C$802,C52,$D$4:$D$802)/SUM($D$4:$D$802))</x:f>
        <x:v>1.038402515348746</x:v>
      </x:c>
    </x:row>
    <x:row r="53">
      <x:c r="A53" s="101" t="str">
        <x:v>岩手県</x:v>
      </x:c>
      <x:c r="B53" s="101" t="str">
        <x:v>Q</x:v>
      </x:c>
      <x:c r="C53" s="101" t="str">
        <x:v>複合サービス事業</x:v>
      </x:c>
      <x:c r="D53" s="102" t="n">
        <x:v>6703</x:v>
      </x:c>
      <x:c r="E53" s="102" t="n">
        <x:f>1+COUNTIFS($C$4:$C$802,C53,$D$4:$D$802,"&gt;"&amp;D53)</x:f>
        <x:v>25</x:v>
      </x:c>
      <x:c r="F53" s="102" t="n">
        <x:v>1210534</x:v>
      </x:c>
      <x:c r="G53" s="126" t="n">
        <x:f>D53/F53*10000</x:f>
        <x:v>55.37225720219342</x:v>
      </x:c>
      <x:c r="H53" s="127" t="n">
        <x:f>1+COUNTIFS($C$4:$C$802,C53,$G$4:$G$802,"&gt;"&amp;G53)</x:f>
        <x:v>8</x:v>
      </x:c>
      <x:c r="I53" s="128" t="n">
        <x:f>D53/SUMIF($C$4:$C$802,C53,$D$4:$D$802)</x:f>
        <x:v>0.015374911117737458</x:v>
      </x:c>
      <x:c r="J53" s="103" t="n">
        <x:f>(D53/SUMIF($A$4:$A$802,A53,$D$4:$D$802))/(SUMIF($C$4:$C$802,C53,$D$4:$D$802)/SUM($D$4:$D$802))</x:f>
        <x:v>1.7194742089045438</x:v>
      </x:c>
    </x:row>
    <x:row r="54">
      <x:c r="A54" s="101" t="str">
        <x:v>岩手県</x:v>
      </x:c>
      <x:c r="B54" s="101" t="str">
        <x:v>R</x:v>
      </x:c>
      <x:c r="C54" s="101" t="str">
        <x:v>サービス業（他に分類されないもの）</x:v>
      </x:c>
      <x:c r="D54" s="102" t="n">
        <x:v>37988</x:v>
      </x:c>
      <x:c r="E54" s="102" t="n">
        <x:f>1+COUNTIFS($C$4:$C$802,C54,$D$4:$D$802,"&gt;"&amp;D54)</x:f>
        <x:v>31</x:v>
      </x:c>
      <x:c r="F54" s="102" t="n">
        <x:v>1210534</x:v>
      </x:c>
      <x:c r="G54" s="126" t="n">
        <x:f>D54/F54*10000</x:f>
        <x:v>313.8119210199796</x:v>
      </x:c>
      <x:c r="H54" s="127" t="n">
        <x:f>1+COUNTIFS($C$4:$C$802,C54,$G$4:$G$802,"&gt;"&amp;G54)</x:f>
        <x:v>33</x:v>
      </x:c>
      <x:c r="I54" s="128" t="n">
        <x:f>D54/SUMIF($C$4:$C$802,C54,$D$4:$D$802)</x:f>
        <x:v>0.007257461642228996</x:v>
      </x:c>
      <x:c r="J54" s="103" t="n">
        <x:f>(D54/SUMIF($A$4:$A$802,A54,$D$4:$D$802))/(SUMIF($C$4:$C$802,C54,$D$4:$D$802)/SUM($D$4:$D$802))</x:f>
        <x:v>0.8116481468000293</x:v>
      </x:c>
    </x:row>
    <x:row r="55">
      <x:c r="A55" s="101" t="str">
        <x:v>宮城県</x:v>
      </x:c>
      <x:c r="B55" s="101" t="str">
        <x:v>AB</x:v>
      </x:c>
      <x:c r="C55" s="101" t="str">
        <x:v>農林漁業</x:v>
      </x:c>
      <x:c r="D55" s="102" t="n">
        <x:v>11403</x:v>
      </x:c>
      <x:c r="E55" s="102" t="n">
        <x:f>1+COUNTIFS($C$4:$C$802,C55,$D$4:$D$802,"&gt;"&amp;D55)</x:f>
        <x:v>13</x:v>
      </x:c>
      <x:c r="F55" s="102" t="n">
        <x:v>2301996</x:v>
      </x:c>
      <x:c r="G55" s="126" t="n">
        <x:f>D55/F55*10000</x:f>
        <x:v>49.535272867546254</x:v>
      </x:c>
      <x:c r="H55" s="127" t="n">
        <x:f>1+COUNTIFS($C$4:$C$802,C55,$G$4:$G$802,"&gt;"&amp;G55)</x:f>
        <x:v>26</x:v>
      </x:c>
      <x:c r="I55" s="128" t="n">
        <x:f>D55/SUMIF($C$4:$C$802,C55,$D$4:$D$802)</x:f>
        <x:v>0.025133181839220812</x:v>
      </x:c>
      <x:c r="J55" s="103" t="n">
        <x:f>(D55/SUMIF($A$4:$A$802,A55,$D$4:$D$802))/(SUMIF($C$4:$C$802,C55,$D$4:$D$802)/SUM($D$4:$D$802))</x:f>
        <x:v>1.4124180809886768</x:v>
      </x:c>
    </x:row>
    <x:row r="56">
      <x:c r="A56" s="101" t="str">
        <x:v>宮城県</x:v>
      </x:c>
      <x:c r="B56" s="101" t="str">
        <x:v>C</x:v>
      </x:c>
      <x:c r="C56" s="101" t="str">
        <x:v>鉱業，採石業，砂利採取業</x:v>
      </x:c>
      <x:c r="D56" s="102" t="n">
        <x:v>591</x:v>
      </x:c>
      <x:c r="E56" s="102" t="n">
        <x:f>1+COUNTIFS($C$4:$C$802,C56,$D$4:$D$802,"&gt;"&amp;D56)</x:f>
        <x:v>9</x:v>
      </x:c>
      <x:c r="F56" s="102" t="n">
        <x:v>2301996</x:v>
      </x:c>
      <x:c r="G56" s="126" t="n">
        <x:f>D56/F56*10000</x:f>
        <x:v>2.5673372151819547</x:v>
      </x:c>
      <x:c r="H56" s="127" t="n">
        <x:f>1+COUNTIFS($C$4:$C$802,C56,$G$4:$G$802,"&gt;"&amp;G56)</x:f>
        <x:v>16</x:v>
      </x:c>
      <x:c r="I56" s="128" t="n">
        <x:f>D56/SUMIF($C$4:$C$802,C56,$D$4:$D$802)</x:f>
        <x:v>0.030004569223739657</x:v>
      </x:c>
      <x:c r="J56" s="103" t="n">
        <x:f>(D56/SUMIF($A$4:$A$802,A56,$D$4:$D$802))/(SUMIF($C$4:$C$802,C56,$D$4:$D$802)/SUM($D$4:$D$802))</x:f>
        <x:v>1.6861771165699777</x:v>
      </x:c>
    </x:row>
    <x:row r="57">
      <x:c r="A57" s="101" t="str">
        <x:v>宮城県</x:v>
      </x:c>
      <x:c r="B57" s="101" t="str">
        <x:v>D</x:v>
      </x:c>
      <x:c r="C57" s="101" t="str">
        <x:v>建設業</x:v>
      </x:c>
      <x:c r="D57" s="102" t="n">
        <x:v>96921</x:v>
      </x:c>
      <x:c r="E57" s="102" t="n">
        <x:f>1+COUNTIFS($C$4:$C$802,C57,$D$4:$D$802,"&gt;"&amp;D57)</x:f>
        <x:v>11</x:v>
      </x:c>
      <x:c r="F57" s="102" t="n">
        <x:v>2301996</x:v>
      </x:c>
      <x:c r="G57" s="126" t="n">
        <x:f>D57/F57*10000</x:f>
        <x:v>421.03027112123567</x:v>
      </x:c>
      <x:c r="H57" s="127" t="n">
        <x:f>1+COUNTIFS($C$4:$C$802,C57,$G$4:$G$802,"&gt;"&amp;G57)</x:f>
        <x:v>3</x:v>
      </x:c>
      <x:c r="I57" s="128" t="n">
        <x:f>D57/SUMIF($C$4:$C$802,C57,$D$4:$D$802)</x:f>
        <x:v>0.025932629905964417</x:v>
      </x:c>
      <x:c r="J57" s="103" t="n">
        <x:f>(D57/SUMIF($A$4:$A$802,A57,$D$4:$D$802))/(SUMIF($C$4:$C$802,C57,$D$4:$D$802)/SUM($D$4:$D$802))</x:f>
        <x:v>1.457344939494035</x:v>
      </x:c>
    </x:row>
    <x:row r="58">
      <x:c r="A58" s="101" t="str">
        <x:v>宮城県</x:v>
      </x:c>
      <x:c r="B58" s="101" t="str">
        <x:v>E</x:v>
      </x:c>
      <x:c r="C58" s="101" t="str">
        <x:v>製造業</x:v>
      </x:c>
      <x:c r="D58" s="102" t="n">
        <x:v>121586</x:v>
      </x:c>
      <x:c r="E58" s="102" t="n">
        <x:f>1+COUNTIFS($C$4:$C$802,C58,$D$4:$D$802,"&gt;"&amp;D58)</x:f>
        <x:v>24</x:v>
      </x:c>
      <x:c r="F58" s="102" t="n">
        <x:v>2301996</x:v>
      </x:c>
      <x:c r="G58" s="126" t="n">
        <x:f>D58/F58*10000</x:f>
        <x:v>528.1764173352169</x:v>
      </x:c>
      <x:c r="H58" s="127" t="n">
        <x:f>1+COUNTIFS($C$4:$C$802,C58,$G$4:$G$802,"&gt;"&amp;G58)</x:f>
        <x:v>37</x:v>
      </x:c>
      <x:c r="I58" s="128" t="n">
        <x:f>D58/SUMIF($C$4:$C$802,C58,$D$4:$D$802)</x:f>
        <x:v>0.013810873521336565</x:v>
      </x:c>
      <x:c r="J58" s="103" t="n">
        <x:f>(D58/SUMIF($A$4:$A$802,A58,$D$4:$D$802))/(SUMIF($C$4:$C$802,C58,$D$4:$D$802)/SUM($D$4:$D$802))</x:f>
        <x:v>0.7761344186569683</x:v>
      </x:c>
    </x:row>
    <x:row r="59">
      <x:c r="A59" s="101" t="str">
        <x:v>宮城県</x:v>
      </x:c>
      <x:c r="B59" s="101" t="str">
        <x:v>F</x:v>
      </x:c>
      <x:c r="C59" s="101" t="str">
        <x:v>電気・ガス・熱供給・水道業</x:v>
      </x:c>
      <x:c r="D59" s="102" t="n">
        <x:v>4610</x:v>
      </x:c>
      <x:c r="E59" s="102" t="n">
        <x:f>1+COUNTIFS($C$4:$C$802,C59,$D$4:$D$802,"&gt;"&amp;D59)</x:f>
        <x:v>12</x:v>
      </x:c>
      <x:c r="F59" s="102" t="n">
        <x:v>2301996</x:v>
      </x:c>
      <x:c r="G59" s="126" t="n">
        <x:f>D59/F59*10000</x:f>
        <x:v>20.02609908965958</x:v>
      </x:c>
      <x:c r="H59" s="127" t="n">
        <x:f>1+COUNTIFS($C$4:$C$802,C59,$G$4:$G$802,"&gt;"&amp;G59)</x:f>
        <x:v>12</x:v>
      </x:c>
      <x:c r="I59" s="128" t="n">
        <x:f>D59/SUMIF($C$4:$C$802,C59,$D$4:$D$802)</x:f>
        <x:v>0.022804960697307433</x:v>
      </x:c>
      <x:c r="J59" s="103" t="n">
        <x:f>(D59/SUMIF($A$4:$A$802,A59,$D$4:$D$802))/(SUMIF($C$4:$C$802,C59,$D$4:$D$802)/SUM($D$4:$D$802))</x:f>
        <x:v>1.281578235146042</x:v>
      </x:c>
    </x:row>
    <x:row r="60">
      <x:c r="A60" s="101" t="str">
        <x:v>宮城県</x:v>
      </x:c>
      <x:c r="B60" s="101" t="str">
        <x:v>G</x:v>
      </x:c>
      <x:c r="C60" s="101" t="str">
        <x:v>情報通信業</x:v>
      </x:c>
      <x:c r="D60" s="102" t="n">
        <x:v>21406</x:v>
      </x:c>
      <x:c r="E60" s="102" t="n">
        <x:f>1+COUNTIFS($C$4:$C$802,C60,$D$4:$D$802,"&gt;"&amp;D60)</x:f>
        <x:v>11</x:v>
      </x:c>
      <x:c r="F60" s="102" t="n">
        <x:v>2301996</x:v>
      </x:c>
      <x:c r="G60" s="126" t="n">
        <x:f>D60/F60*10000</x:f>
        <x:v>92.98886705276638</x:v>
      </x:c>
      <x:c r="H60" s="127" t="n">
        <x:f>1+COUNTIFS($C$4:$C$802,C60,$G$4:$G$802,"&gt;"&amp;G60)</x:f>
        <x:v>8</x:v>
      </x:c>
      <x:c r="I60" s="128" t="n">
        <x:f>D60/SUMIF($C$4:$C$802,C60,$D$4:$D$802)</x:f>
        <x:v>0.010773897633376434</x:v>
      </x:c>
      <x:c r="J60" s="103" t="n">
        <x:f>(D60/SUMIF($A$4:$A$802,A60,$D$4:$D$802))/(SUMIF($C$4:$C$802,C60,$D$4:$D$802)/SUM($D$4:$D$802))</x:f>
        <x:v>0.6054644381060891</x:v>
      </x:c>
    </x:row>
    <x:row r="61">
      <x:c r="A61" s="101" t="str">
        <x:v>宮城県</x:v>
      </x:c>
      <x:c r="B61" s="101" t="str">
        <x:v>H</x:v>
      </x:c>
      <x:c r="C61" s="101" t="str">
        <x:v>運輸業，郵便業</x:v>
      </x:c>
      <x:c r="D61" s="102" t="n">
        <x:v>64160</x:v>
      </x:c>
      <x:c r="E61" s="102" t="n">
        <x:f>1+COUNTIFS($C$4:$C$802,C61,$D$4:$D$802,"&gt;"&amp;D61)</x:f>
        <x:v>13</x:v>
      </x:c>
      <x:c r="F61" s="102" t="n">
        <x:v>2301996</x:v>
      </x:c>
      <x:c r="G61" s="126" t="n">
        <x:f>D61/F61*10000</x:f>
        <x:v>278.7146458986028</x:v>
      </x:c>
      <x:c r="H61" s="127" t="n">
        <x:f>1+COUNTIFS($C$4:$C$802,C61,$G$4:$G$802,"&gt;"&amp;G61)</x:f>
        <x:v>6</x:v>
      </x:c>
      <x:c r="I61" s="128" t="n">
        <x:f>D61/SUMIF($C$4:$C$802,C61,$D$4:$D$802)</x:f>
        <x:v>0.019652443353731116</x:v>
      </x:c>
      <x:c r="J61" s="103" t="n">
        <x:f>(D61/SUMIF($A$4:$A$802,A61,$D$4:$D$802))/(SUMIF($C$4:$C$802,C61,$D$4:$D$802)/SUM($D$4:$D$802))</x:f>
        <x:v>1.1044151315970476</x:v>
      </x:c>
    </x:row>
    <x:row r="62">
      <x:c r="A62" s="101" t="str">
        <x:v>宮城県</x:v>
      </x:c>
      <x:c r="B62" s="101" t="str">
        <x:v>I</x:v>
      </x:c>
      <x:c r="C62" s="101" t="str">
        <x:v>卸売業，小売業</x:v>
      </x:c>
      <x:c r="D62" s="102" t="n">
        <x:v>224589</x:v>
      </x:c>
      <x:c r="E62" s="102" t="n">
        <x:f>1+COUNTIFS($C$4:$C$802,C62,$D$4:$D$802,"&gt;"&amp;D62)</x:f>
        <x:v>14</x:v>
      </x:c>
      <x:c r="F62" s="102" t="n">
        <x:v>2301996</x:v>
      </x:c>
      <x:c r="G62" s="126" t="n">
        <x:f>D62/F62*10000</x:f>
        <x:v>975.6272382749578</x:v>
      </x:c>
      <x:c r="H62" s="127" t="n">
        <x:f>1+COUNTIFS($C$4:$C$802,C62,$G$4:$G$802,"&gt;"&amp;G62)</x:f>
        <x:v>4</x:v>
      </x:c>
      <x:c r="I62" s="128" t="n">
        <x:f>D62/SUMIF($C$4:$C$802,C62,$D$4:$D$802)</x:f>
        <x:v>0.019341239229605706</x:v>
      </x:c>
      <x:c r="J62" s="103" t="n">
        <x:f>(D62/SUMIF($A$4:$A$802,A62,$D$4:$D$802))/(SUMIF($C$4:$C$802,C62,$D$4:$D$802)/SUM($D$4:$D$802))</x:f>
        <x:v>1.086926286189219</x:v>
      </x:c>
    </x:row>
    <x:row r="63">
      <x:c r="A63" s="101" t="str">
        <x:v>宮城県</x:v>
      </x:c>
      <x:c r="B63" s="101" t="str">
        <x:v>J</x:v>
      </x:c>
      <x:c r="C63" s="101" t="str">
        <x:v>金融業，保険業</x:v>
      </x:c>
      <x:c r="D63" s="102" t="n">
        <x:v>24801</x:v>
      </x:c>
      <x:c r="E63" s="102" t="n">
        <x:f>1+COUNTIFS($C$4:$C$802,C63,$D$4:$D$802,"&gt;"&amp;D63)</x:f>
        <x:v>13</x:v>
      </x:c>
      <x:c r="F63" s="102" t="n">
        <x:v>2301996</x:v>
      </x:c>
      <x:c r="G63" s="126" t="n">
        <x:f>D63/F63*10000</x:f>
        <x:v>107.73693785740721</x:v>
      </x:c>
      <x:c r="H63" s="127" t="n">
        <x:f>1+COUNTIFS($C$4:$C$802,C63,$G$4:$G$802,"&gt;"&amp;G63)</x:f>
        <x:v>9</x:v>
      </x:c>
      <x:c r="I63" s="128" t="n">
        <x:f>D63/SUMIF($C$4:$C$802,C63,$D$4:$D$802)</x:f>
        <x:v>0.016595558458174186</x:v>
      </x:c>
      <x:c r="J63" s="103" t="n">
        <x:f>(D63/SUMIF($A$4:$A$802,A63,$D$4:$D$802))/(SUMIF($C$4:$C$802,C63,$D$4:$D$802)/SUM($D$4:$D$802))</x:f>
        <x:v>0.9326263176853887</x:v>
      </x:c>
    </x:row>
    <x:row r="64">
      <x:c r="A64" s="101" t="str">
        <x:v>宮城県</x:v>
      </x:c>
      <x:c r="B64" s="101" t="str">
        <x:v>K</x:v>
      </x:c>
      <x:c r="C64" s="101" t="str">
        <x:v>不動産業，物品賃貸業</x:v>
      </x:c>
      <x:c r="D64" s="102" t="n">
        <x:v>28514</x:v>
      </x:c>
      <x:c r="E64" s="102" t="n">
        <x:f>1+COUNTIFS($C$4:$C$802,C64,$D$4:$D$802,"&gt;"&amp;D64)</x:f>
        <x:v>13</x:v>
      </x:c>
      <x:c r="F64" s="102" t="n">
        <x:v>2301996</x:v>
      </x:c>
      <x:c r="G64" s="126" t="n">
        <x:f>D64/F64*10000</x:f>
        <x:v>123.86641853417642</x:v>
      </x:c>
      <x:c r="H64" s="127" t="n">
        <x:f>1+COUNTIFS($C$4:$C$802,C64,$G$4:$G$802,"&gt;"&amp;G64)</x:f>
        <x:v>8</x:v>
      </x:c>
      <x:c r="I64" s="128" t="n">
        <x:f>D64/SUMIF($C$4:$C$802,C64,$D$4:$D$802)</x:f>
        <x:v>0.017621488402101676</x:v>
      </x:c>
      <x:c r="J64" s="103" t="n">
        <x:f>(D64/SUMIF($A$4:$A$802,A64,$D$4:$D$802))/(SUMIF($C$4:$C$802,C64,$D$4:$D$802)/SUM($D$4:$D$802))</x:f>
        <x:v>0.9902808562909872</x:v>
      </x:c>
    </x:row>
    <x:row r="65">
      <x:c r="A65" s="101" t="str">
        <x:v>宮城県</x:v>
      </x:c>
      <x:c r="B65" s="101" t="str">
        <x:v>L</x:v>
      </x:c>
      <x:c r="C65" s="101" t="str">
        <x:v>学術研究，専門・技術サービス業</x:v>
      </x:c>
      <x:c r="D65" s="102" t="n">
        <x:v>33211</x:v>
      </x:c>
      <x:c r="E65" s="102" t="n">
        <x:f>1+COUNTIFS($C$4:$C$802,C65,$D$4:$D$802,"&gt;"&amp;D65)</x:f>
        <x:v>14</x:v>
      </x:c>
      <x:c r="F65" s="102" t="n">
        <x:v>2301996</x:v>
      </x:c>
      <x:c r="G65" s="126" t="n">
        <x:f>D65/F65*10000</x:f>
        <x:v>144.27045051338055</x:v>
      </x:c>
      <x:c r="H65" s="127" t="n">
        <x:f>1+COUNTIFS($C$4:$C$802,C65,$G$4:$G$802,"&gt;"&amp;G65)</x:f>
        <x:v>9</x:v>
      </x:c>
      <x:c r="I65" s="128" t="n">
        <x:f>D65/SUMIF($C$4:$C$802,C65,$D$4:$D$802)</x:f>
        <x:v>0.015673550676759858</x:v>
      </x:c>
      <x:c r="J65" s="103" t="n">
        <x:f>(D65/SUMIF($A$4:$A$802,A65,$D$4:$D$802))/(SUMIF($C$4:$C$802,C65,$D$4:$D$802)/SUM($D$4:$D$802))</x:f>
        <x:v>0.8808119286592587</x:v>
      </x:c>
    </x:row>
    <x:row r="66">
      <x:c r="A66" s="101" t="str">
        <x:v>宮城県</x:v>
      </x:c>
      <x:c r="B66" s="101" t="str">
        <x:v>M</x:v>
      </x:c>
      <x:c r="C66" s="101" t="str">
        <x:v>宿泊業，飲食サービス業</x:v>
      </x:c>
      <x:c r="D66" s="102" t="n">
        <x:v>78542</x:v>
      </x:c>
      <x:c r="E66" s="102" t="n">
        <x:f>1+COUNTIFS($C$4:$C$802,C66,$D$4:$D$802,"&gt;"&amp;D66)</x:f>
        <x:v>15</x:v>
      </x:c>
      <x:c r="F66" s="102" t="n">
        <x:v>2301996</x:v>
      </x:c>
      <x:c r="G66" s="126" t="n">
        <x:f>D66/F66*10000</x:f>
        <x:v>341.1908621908987</x:v>
      </x:c>
      <x:c r="H66" s="127" t="n">
        <x:f>1+COUNTIFS($C$4:$C$802,C66,$G$4:$G$802,"&gt;"&amp;G66)</x:f>
        <x:v>25</x:v>
      </x:c>
      <x:c r="I66" s="128" t="n">
        <x:f>D66/SUMIF($C$4:$C$802,C66,$D$4:$D$802)</x:f>
        <x:v>0.016787001796851674</x:v>
      </x:c>
      <x:c r="J66" s="103" t="n">
        <x:f>(D66/SUMIF($A$4:$A$802,A66,$D$4:$D$802))/(SUMIF($C$4:$C$802,C66,$D$4:$D$802)/SUM($D$4:$D$802))</x:f>
        <x:v>0.9433849249625205</x:v>
      </x:c>
    </x:row>
    <x:row r="67">
      <x:c r="A67" s="101" t="str">
        <x:v>宮城県</x:v>
      </x:c>
      <x:c r="B67" s="101" t="str">
        <x:v>N</x:v>
      </x:c>
      <x:c r="C67" s="101" t="str">
        <x:v>生活関連サービス業，娯楽業</x:v>
      </x:c>
      <x:c r="D67" s="102" t="n">
        <x:v>37880</x:v>
      </x:c>
      <x:c r="E67" s="102" t="n">
        <x:f>1+COUNTIFS($C$4:$C$802,C67,$D$4:$D$802,"&gt;"&amp;D67)</x:f>
        <x:v>15</x:v>
      </x:c>
      <x:c r="F67" s="102" t="n">
        <x:v>2301996</x:v>
      </x:c>
      <x:c r="G67" s="126" t="n">
        <x:f>D67/F67*10000</x:f>
        <x:v>164.55284891893817</x:v>
      </x:c>
      <x:c r="H67" s="127" t="n">
        <x:f>1+COUNTIFS($C$4:$C$802,C67,$G$4:$G$802,"&gt;"&amp;G67)</x:f>
        <x:v>26</x:v>
      </x:c>
      <x:c r="I67" s="128" t="n">
        <x:f>D67/SUMIF($C$4:$C$802,C67,$D$4:$D$802)</x:f>
        <x:v>0.017406976300686675</x:v>
      </x:c>
      <x:c r="J67" s="103" t="n">
        <x:f>(D67/SUMIF($A$4:$A$802,A67,$D$4:$D$802))/(SUMIF($C$4:$C$802,C67,$D$4:$D$802)/SUM($D$4:$D$802))</x:f>
        <x:v>0.9782258458045466</x:v>
      </x:c>
    </x:row>
    <x:row r="68">
      <x:c r="A68" s="101" t="str">
        <x:v>宮城県</x:v>
      </x:c>
      <x:c r="B68" s="101" t="str">
        <x:v>O</x:v>
      </x:c>
      <x:c r="C68" s="101" t="str">
        <x:v>教育，学習支援業</x:v>
      </x:c>
      <x:c r="D68" s="102" t="n">
        <x:v>35135</x:v>
      </x:c>
      <x:c r="E68" s="102" t="n">
        <x:f>1+COUNTIFS($C$4:$C$802,C68,$D$4:$D$802,"&gt;"&amp;D68)</x:f>
        <x:v>13</x:v>
      </x:c>
      <x:c r="F68" s="102" t="n">
        <x:v>2301996</x:v>
      </x:c>
      <x:c r="G68" s="126" t="n">
        <x:f>D68/F68*10000</x:f>
        <x:v>152.62841464537732</x:v>
      </x:c>
      <x:c r="H68" s="127" t="n">
        <x:f>1+COUNTIFS($C$4:$C$802,C68,$G$4:$G$802,"&gt;"&amp;G68)</x:f>
        <x:v>8</x:v>
      </x:c>
      <x:c r="I68" s="128" t="n">
        <x:f>D68/SUMIF($C$4:$C$802,C68,$D$4:$D$802)</x:f>
        <x:v>0.018011169129158563</x:v>
      </x:c>
      <x:c r="J68" s="103" t="n">
        <x:f>(D68/SUMIF($A$4:$A$802,A68,$D$4:$D$802))/(SUMIF($C$4:$C$802,C68,$D$4:$D$802)/SUM($D$4:$D$802))</x:f>
        <x:v>1.0121798783976534</x:v>
      </x:c>
    </x:row>
    <x:row r="69">
      <x:c r="A69" s="101" t="str">
        <x:v>宮城県</x:v>
      </x:c>
      <x:c r="B69" s="101" t="str">
        <x:v>P</x:v>
      </x:c>
      <x:c r="C69" s="101" t="str">
        <x:v>医療，福祉</x:v>
      </x:c>
      <x:c r="D69" s="102" t="n">
        <x:v>134033</x:v>
      </x:c>
      <x:c r="E69" s="102" t="n">
        <x:f>1+COUNTIFS($C$4:$C$802,C69,$D$4:$D$802,"&gt;"&amp;D69)</x:f>
        <x:v>18</x:v>
      </x:c>
      <x:c r="F69" s="102" t="n">
        <x:v>2301996</x:v>
      </x:c>
      <x:c r="G69" s="126" t="n">
        <x:f>D69/F69*10000</x:f>
        <x:v>582.2468848772978</x:v>
      </x:c>
      <x:c r="H69" s="127" t="n">
        <x:f>1+COUNTIFS($C$4:$C$802,C69,$G$4:$G$802,"&gt;"&amp;G69)</x:f>
        <x:v>40</x:v>
      </x:c>
      <x:c r="I69" s="128" t="n">
        <x:f>D69/SUMIF($C$4:$C$802,C69,$D$4:$D$802)</x:f>
        <x:v>0.01642078712652826</x:v>
      </x:c>
      <x:c r="J69" s="103" t="n">
        <x:f>(D69/SUMIF($A$4:$A$802,A69,$D$4:$D$802))/(SUMIF($C$4:$C$802,C69,$D$4:$D$802)/SUM($D$4:$D$802))</x:f>
        <x:v>0.9228046329327656</x:v>
      </x:c>
    </x:row>
    <x:row r="70">
      <x:c r="A70" s="101" t="str">
        <x:v>宮城県</x:v>
      </x:c>
      <x:c r="B70" s="101" t="str">
        <x:v>Q</x:v>
      </x:c>
      <x:c r="C70" s="101" t="str">
        <x:v>複合サービス事業</x:v>
      </x:c>
      <x:c r="D70" s="102" t="n">
        <x:v>10216</x:v>
      </x:c>
      <x:c r="E70" s="102" t="n">
        <x:f>1+COUNTIFS($C$4:$C$802,C70,$D$4:$D$802,"&gt;"&amp;D70)</x:f>
        <x:v>13</x:v>
      </x:c>
      <x:c r="F70" s="102" t="n">
        <x:v>2301996</x:v>
      </x:c>
      <x:c r="G70" s="126" t="n">
        <x:f>D70/F70*10000</x:f>
        <x:v>44.37887815617403</x:v>
      </x:c>
      <x:c r="H70" s="127" t="n">
        <x:f>1+COUNTIFS($C$4:$C$802,C70,$G$4:$G$802,"&gt;"&amp;G70)</x:f>
        <x:v>21</x:v>
      </x:c>
      <x:c r="I70" s="128" t="n">
        <x:f>D70/SUMIF($C$4:$C$802,C70,$D$4:$D$802)</x:f>
        <x:v>0.023432805009519005</x:v>
      </x:c>
      <x:c r="J70" s="103" t="n">
        <x:f>(D70/SUMIF($A$4:$A$802,A70,$D$4:$D$802))/(SUMIF($C$4:$C$802,C70,$D$4:$D$802)/SUM($D$4:$D$802))</x:f>
        <x:v>1.3168614183214282</x:v>
      </x:c>
    </x:row>
    <x:row r="71">
      <x:c r="A71" s="101" t="str">
        <x:v>宮城県</x:v>
      </x:c>
      <x:c r="B71" s="101" t="str">
        <x:v>R</x:v>
      </x:c>
      <x:c r="C71" s="101" t="str">
        <x:v>サービス業（他に分類されないもの）</x:v>
      </x:c>
      <x:c r="D71" s="102" t="n">
        <x:v>103588</x:v>
      </x:c>
      <x:c r="E71" s="102" t="n">
        <x:f>1+COUNTIFS($C$4:$C$802,C71,$D$4:$D$802,"&gt;"&amp;D71)</x:f>
        <x:v>12</x:v>
      </x:c>
      <x:c r="F71" s="102" t="n">
        <x:v>2301996</x:v>
      </x:c>
      <x:c r="G71" s="126" t="n">
        <x:f>D71/F71*10000</x:f>
        <x:v>449.992093817713</x:v>
      </x:c>
      <x:c r="H71" s="127" t="n">
        <x:f>1+COUNTIFS($C$4:$C$802,C71,$G$4:$G$802,"&gt;"&amp;G71)</x:f>
        <x:v>4</x:v>
      </x:c>
      <x:c r="I71" s="128" t="n">
        <x:f>D71/SUMIF($C$4:$C$802,C71,$D$4:$D$802)</x:f>
        <x:v>0.019790089938802182</x:v>
      </x:c>
      <x:c r="J71" s="103" t="n">
        <x:f>(D71/SUMIF($A$4:$A$802,A71,$D$4:$D$802))/(SUMIF($C$4:$C$802,C71,$D$4:$D$802)/SUM($D$4:$D$802))</x:f>
        <x:v>1.1121505041728084</x:v>
      </x:c>
    </x:row>
    <x:row r="72">
      <x:c r="A72" s="101" t="str">
        <x:v>秋田県</x:v>
      </x:c>
      <x:c r="B72" s="101" t="str">
        <x:v>AB</x:v>
      </x:c>
      <x:c r="C72" s="101" t="str">
        <x:v>農林漁業</x:v>
      </x:c>
      <x:c r="D72" s="102" t="n">
        <x:v>9687</x:v>
      </x:c>
      <x:c r="E72" s="102" t="n">
        <x:f>1+COUNTIFS($C$4:$C$802,C72,$D$4:$D$802,"&gt;"&amp;D72)</x:f>
        <x:v>19</x:v>
      </x:c>
      <x:c r="F72" s="102" t="n">
        <x:v>959502</x:v>
      </x:c>
      <x:c r="G72" s="126" t="n">
        <x:f>D72/F72*10000</x:f>
        <x:v>100.95862228531051</x:v>
      </x:c>
      <x:c r="H72" s="127" t="n">
        <x:f>1+COUNTIFS($C$4:$C$802,C72,$G$4:$G$802,"&gt;"&amp;G72)</x:f>
        <x:v>6</x:v>
      </x:c>
      <x:c r="I72" s="128" t="n">
        <x:f>D72/SUMIF($C$4:$C$802,C72,$D$4:$D$802)</x:f>
        <x:v>0.02135097189130334</x:v>
      </x:c>
      <x:c r="J72" s="103" t="n">
        <x:f>(D72/SUMIF($A$4:$A$802,A72,$D$4:$D$802))/(SUMIF($C$4:$C$802,C72,$D$4:$D$802)/SUM($D$4:$D$802))</x:f>
        <x:v>3.103528990742787</x:v>
      </x:c>
    </x:row>
    <x:row r="73">
      <x:c r="A73" s="101" t="str">
        <x:v>秋田県</x:v>
      </x:c>
      <x:c r="B73" s="101" t="str">
        <x:v>C</x:v>
      </x:c>
      <x:c r="C73" s="101" t="str">
        <x:v>鉱業，採石業，砂利採取業</x:v>
      </x:c>
      <x:c r="D73" s="102" t="n">
        <x:v>595</x:v>
      </x:c>
      <x:c r="E73" s="102" t="n">
        <x:f>1+COUNTIFS($C$4:$C$802,C73,$D$4:$D$802,"&gt;"&amp;D73)</x:f>
        <x:v>8</x:v>
      </x:c>
      <x:c r="F73" s="102" t="n">
        <x:v>959502</x:v>
      </x:c>
      <x:c r="G73" s="126" t="n">
        <x:f>D73/F73*10000</x:f>
        <x:v>6.201133504672216</x:v>
      </x:c>
      <x:c r="H73" s="127" t="n">
        <x:f>1+COUNTIFS($C$4:$C$802,C73,$G$4:$G$802,"&gt;"&amp;G73)</x:f>
        <x:v>3</x:v>
      </x:c>
      <x:c r="I73" s="128" t="n">
        <x:f>D73/SUMIF($C$4:$C$802,C73,$D$4:$D$802)</x:f>
        <x:v>0.030207645834391023</x:v>
      </x:c>
      <x:c r="J73" s="103" t="n">
        <x:f>(D73/SUMIF($A$4:$A$802,A73,$D$4:$D$802))/(SUMIF($C$4:$C$802,C73,$D$4:$D$802)/SUM($D$4:$D$802))</x:f>
        <x:v>4.390915086507581</x:v>
      </x:c>
    </x:row>
    <x:row r="74">
      <x:c r="A74" s="101" t="str">
        <x:v>秋田県</x:v>
      </x:c>
      <x:c r="B74" s="101" t="str">
        <x:v>D</x:v>
      </x:c>
      <x:c r="C74" s="101" t="str">
        <x:v>建設業</x:v>
      </x:c>
      <x:c r="D74" s="102" t="n">
        <x:v>37900</x:v>
      </x:c>
      <x:c r="E74" s="102" t="n">
        <x:f>1+COUNTIFS($C$4:$C$802,C74,$D$4:$D$802,"&gt;"&amp;D74)</x:f>
        <x:v>35</x:v>
      </x:c>
      <x:c r="F74" s="102" t="n">
        <x:v>959502</x:v>
      </x:c>
      <x:c r="G74" s="126" t="n">
        <x:f>D74/F74*10000</x:f>
        <x:v>394.99657113794444</x:v>
      </x:c>
      <x:c r="H74" s="127" t="n">
        <x:f>1+COUNTIFS($C$4:$C$802,C74,$G$4:$G$802,"&gt;"&amp;G74)</x:f>
        <x:v>7</x:v>
      </x:c>
      <x:c r="I74" s="128" t="n">
        <x:f>D74/SUMIF($C$4:$C$802,C74,$D$4:$D$802)</x:f>
        <x:v>0.010140698852014025</x:v>
      </x:c>
      <x:c r="J74" s="103" t="n">
        <x:f>(D74/SUMIF($A$4:$A$802,A74,$D$4:$D$802))/(SUMIF($C$4:$C$802,C74,$D$4:$D$802)/SUM($D$4:$D$802))</x:f>
        <x:v>1.4740290528150035</x:v>
      </x:c>
    </x:row>
    <x:row r="75">
      <x:c r="A75" s="101" t="str">
        <x:v>秋田県</x:v>
      </x:c>
      <x:c r="B75" s="101" t="str">
        <x:v>E</x:v>
      </x:c>
      <x:c r="C75" s="101" t="str">
        <x:v>製造業</x:v>
      </x:c>
      <x:c r="D75" s="102" t="n">
        <x:v>64599</x:v>
      </x:c>
      <x:c r="E75" s="102" t="n">
        <x:f>1+COUNTIFS($C$4:$C$802,C75,$D$4:$D$802,"&gt;"&amp;D75)</x:f>
        <x:v>38</x:v>
      </x:c>
      <x:c r="F75" s="102" t="n">
        <x:v>959502</x:v>
      </x:c>
      <x:c r="G75" s="126" t="n">
        <x:f>D75/F75*10000</x:f>
        <x:v>673.2555012912949</x:v>
      </x:c>
      <x:c r="H75" s="127" t="n">
        <x:f>1+COUNTIFS($C$4:$C$802,C75,$G$4:$G$802,"&gt;"&amp;G75)</x:f>
        <x:v>27</x:v>
      </x:c>
      <x:c r="I75" s="128" t="n">
        <x:f>D75/SUMIF($C$4:$C$802,C75,$D$4:$D$802)</x:f>
        <x:v>0.007337757789587788</x:v>
      </x:c>
      <x:c r="J75" s="103" t="n">
        <x:f>(D75/SUMIF($A$4:$A$802,A75,$D$4:$D$802))/(SUMIF($C$4:$C$802,C75,$D$4:$D$802)/SUM($D$4:$D$802))</x:f>
        <x:v>1.0665998785896142</x:v>
      </x:c>
    </x:row>
    <x:row r="76">
      <x:c r="A76" s="101" t="str">
        <x:v>秋田県</x:v>
      </x:c>
      <x:c r="B76" s="101" t="str">
        <x:v>F</x:v>
      </x:c>
      <x:c r="C76" s="101" t="str">
        <x:v>電気・ガス・熱供給・水道業</x:v>
      </x:c>
      <x:c r="D76" s="102" t="n">
        <x:v>1600</x:v>
      </x:c>
      <x:c r="E76" s="102" t="n">
        <x:f>1+COUNTIFS($C$4:$C$802,C76,$D$4:$D$802,"&gt;"&amp;D76)</x:f>
        <x:v>36</x:v>
      </x:c>
      <x:c r="F76" s="102" t="n">
        <x:v>959502</x:v>
      </x:c>
      <x:c r="G76" s="126" t="n">
        <x:f>D76/F76*10000</x:f>
        <x:v>16.675316987353856</x:v>
      </x:c>
      <x:c r="H76" s="127" t="n">
        <x:f>1+COUNTIFS($C$4:$C$802,C76,$G$4:$G$802,"&gt;"&amp;G76)</x:f>
        <x:v>19</x:v>
      </x:c>
      <x:c r="I76" s="128" t="n">
        <x:f>D76/SUMIF($C$4:$C$802,C76,$D$4:$D$802)</x:f>
        <x:v>0.0079149538211913</x:v>
      </x:c>
      <x:c r="J76" s="103" t="n">
        <x:f>(D76/SUMIF($A$4:$A$802,A76,$D$4:$D$802))/(SUMIF($C$4:$C$802,C76,$D$4:$D$802)/SUM($D$4:$D$802))</x:f>
        <x:v>1.1504997884645762</x:v>
      </x:c>
    </x:row>
    <x:row r="77">
      <x:c r="A77" s="101" t="str">
        <x:v>秋田県</x:v>
      </x:c>
      <x:c r="B77" s="101" t="str">
        <x:v>G</x:v>
      </x:c>
      <x:c r="C77" s="101" t="str">
        <x:v>情報通信業</x:v>
      </x:c>
      <x:c r="D77" s="102" t="n">
        <x:v>3374</x:v>
      </x:c>
      <x:c r="E77" s="102" t="n">
        <x:f>1+COUNTIFS($C$4:$C$802,C77,$D$4:$D$802,"&gt;"&amp;D77)</x:f>
        <x:v>42</x:v>
      </x:c>
      <x:c r="F77" s="102" t="n">
        <x:v>959502</x:v>
      </x:c>
      <x:c r="G77" s="126" t="n">
        <x:f>D77/F77*10000</x:f>
        <x:v>35.16407469708245</x:v>
      </x:c>
      <x:c r="H77" s="127" t="n">
        <x:f>1+COUNTIFS($C$4:$C$802,C77,$G$4:$G$802,"&gt;"&amp;G77)</x:f>
        <x:v>40</x:v>
      </x:c>
      <x:c r="I77" s="128" t="n">
        <x:f>D77/SUMIF($C$4:$C$802,C77,$D$4:$D$802)</x:f>
        <x:v>0.0016981748395315374</x:v>
      </x:c>
      <x:c r="J77" s="103" t="n">
        <x:f>(D77/SUMIF($A$4:$A$802,A77,$D$4:$D$802))/(SUMIF($C$4:$C$802,C77,$D$4:$D$802)/SUM($D$4:$D$802))</x:f>
        <x:v>0.24684285439871778</x:v>
      </x:c>
    </x:row>
    <x:row r="78">
      <x:c r="A78" s="101" t="str">
        <x:v>秋田県</x:v>
      </x:c>
      <x:c r="B78" s="101" t="str">
        <x:v>H</x:v>
      </x:c>
      <x:c r="C78" s="101" t="str">
        <x:v>運輸業，郵便業</x:v>
      </x:c>
      <x:c r="D78" s="102" t="n">
        <x:v>18403</x:v>
      </x:c>
      <x:c r="E78" s="102" t="n">
        <x:f>1+COUNTIFS($C$4:$C$802,C78,$D$4:$D$802,"&gt;"&amp;D78)</x:f>
        <x:v>40</x:v>
      </x:c>
      <x:c r="F78" s="102" t="n">
        <x:v>959502</x:v>
      </x:c>
      <x:c r="G78" s="126" t="n">
        <x:f>D78/F78*10000</x:f>
        <x:v>191.79741157392064</x:v>
      </x:c>
      <x:c r="H78" s="127" t="n">
        <x:f>1+COUNTIFS($C$4:$C$802,C78,$G$4:$G$802,"&gt;"&amp;G78)</x:f>
        <x:v>38</x:v>
      </x:c>
      <x:c r="I78" s="128" t="n">
        <x:f>D78/SUMIF($C$4:$C$802,C78,$D$4:$D$802)</x:f>
        <x:v>0.0056369064064637426</x:v>
      </x:c>
      <x:c r="J78" s="103" t="n">
        <x:f>(D78/SUMIF($A$4:$A$802,A78,$D$4:$D$802))/(SUMIF($C$4:$C$802,C78,$D$4:$D$802)/SUM($D$4:$D$802))</x:f>
        <x:v>0.8193679678670617</x:v>
      </x:c>
    </x:row>
    <x:row r="79">
      <x:c r="A79" s="101" t="str">
        <x:v>秋田県</x:v>
      </x:c>
      <x:c r="B79" s="101" t="str">
        <x:v>I</x:v>
      </x:c>
      <x:c r="C79" s="101" t="str">
        <x:v>卸売業，小売業</x:v>
      </x:c>
      <x:c r="D79" s="102" t="n">
        <x:v>82750</x:v>
      </x:c>
      <x:c r="E79" s="102" t="n">
        <x:f>1+COUNTIFS($C$4:$C$802,C79,$D$4:$D$802,"&gt;"&amp;D79)</x:f>
        <x:v>39</x:v>
      </x:c>
      <x:c r="F79" s="102" t="n">
        <x:v>959502</x:v>
      </x:c>
      <x:c r="G79" s="126" t="n">
        <x:f>D79/F79*10000</x:f>
        <x:v>862.4265504397073</x:v>
      </x:c>
      <x:c r="H79" s="127" t="n">
        <x:f>1+COUNTIFS($C$4:$C$802,C79,$G$4:$G$802,"&gt;"&amp;G79)</x:f>
        <x:v>18</x:v>
      </x:c>
      <x:c r="I79" s="128" t="n">
        <x:f>D79/SUMIF($C$4:$C$802,C79,$D$4:$D$802)</x:f>
        <x:v>0.007126295349504526</x:v>
      </x:c>
      <x:c r="J79" s="103" t="n">
        <x:f>(D79/SUMIF($A$4:$A$802,A79,$D$4:$D$802))/(SUMIF($C$4:$C$802,C79,$D$4:$D$802)/SUM($D$4:$D$802))</x:f>
        <x:v>1.0358621765031382</x:v>
      </x:c>
    </x:row>
    <x:row r="80">
      <x:c r="A80" s="101" t="str">
        <x:v>秋田県</x:v>
      </x:c>
      <x:c r="B80" s="101" t="str">
        <x:v>J</x:v>
      </x:c>
      <x:c r="C80" s="101" t="str">
        <x:v>金融業，保険業</x:v>
      </x:c>
      <x:c r="D80" s="102" t="n">
        <x:v>8702</x:v>
      </x:c>
      <x:c r="E80" s="102" t="n">
        <x:f>1+COUNTIFS($C$4:$C$802,C80,$D$4:$D$802,"&gt;"&amp;D80)</x:f>
        <x:v>41</x:v>
      </x:c>
      <x:c r="F80" s="102" t="n">
        <x:v>959502</x:v>
      </x:c>
      <x:c r="G80" s="126" t="n">
        <x:f>D80/F80*10000</x:f>
        <x:v>90.69288026497078</x:v>
      </x:c>
      <x:c r="H80" s="127" t="n">
        <x:f>1+COUNTIFS($C$4:$C$802,C80,$G$4:$G$802,"&gt;"&amp;G80)</x:f>
        <x:v>34</x:v>
      </x:c>
      <x:c r="I80" s="128" t="n">
        <x:f>D80/SUMIF($C$4:$C$802,C80,$D$4:$D$802)</x:f>
        <x:v>0.005822932531068577</x:v>
      </x:c>
      <x:c r="J80" s="103" t="n">
        <x:f>(D80/SUMIF($A$4:$A$802,A80,$D$4:$D$802))/(SUMIF($C$4:$C$802,C80,$D$4:$D$802)/SUM($D$4:$D$802))</x:f>
        <x:v>0.8464083046576221</x:v>
      </x:c>
    </x:row>
    <x:row r="81">
      <x:c r="A81" s="101" t="str">
        <x:v>秋田県</x:v>
      </x:c>
      <x:c r="B81" s="101" t="str">
        <x:v>K</x:v>
      </x:c>
      <x:c r="C81" s="101" t="str">
        <x:v>不動産業，物品賃貸業</x:v>
      </x:c>
      <x:c r="D81" s="102" t="n">
        <x:v>5989</x:v>
      </x:c>
      <x:c r="E81" s="102" t="n">
        <x:f>1+COUNTIFS($C$4:$C$802,C81,$D$4:$D$802,"&gt;"&amp;D81)</x:f>
        <x:v>42</x:v>
      </x:c>
      <x:c r="F81" s="102" t="n">
        <x:v>959502</x:v>
      </x:c>
      <x:c r="G81" s="126" t="n">
        <x:f>D81/F81*10000</x:f>
        <x:v>62.4177958982889</x:v>
      </x:c>
      <x:c r="H81" s="127" t="n">
        <x:f>1+COUNTIFS($C$4:$C$802,C81,$G$4:$G$802,"&gt;"&amp;G81)</x:f>
        <x:v>46</x:v>
      </x:c>
      <x:c r="I81" s="128" t="n">
        <x:f>D81/SUMIF($C$4:$C$802,C81,$D$4:$D$802)</x:f>
        <x:v>0.0037011676383596455</x:v>
      </x:c>
      <x:c r="J81" s="103" t="n">
        <x:f>(D81/SUMIF($A$4:$A$802,A81,$D$4:$D$802))/(SUMIF($C$4:$C$802,C81,$D$4:$D$802)/SUM($D$4:$D$802))</x:f>
        <x:v>0.5379933580413228</x:v>
      </x:c>
    </x:row>
    <x:row r="82">
      <x:c r="A82" s="101" t="str">
        <x:v>秋田県</x:v>
      </x:c>
      <x:c r="B82" s="101" t="str">
        <x:v>L</x:v>
      </x:c>
      <x:c r="C82" s="101" t="str">
        <x:v>学術研究，専門・技術サービス業</x:v>
      </x:c>
      <x:c r="D82" s="102" t="n">
        <x:v>8278</x:v>
      </x:c>
      <x:c r="E82" s="102" t="n">
        <x:f>1+COUNTIFS($C$4:$C$802,C82,$D$4:$D$802,"&gt;"&amp;D82)</x:f>
        <x:v>41</x:v>
      </x:c>
      <x:c r="F82" s="102" t="n">
        <x:v>959502</x:v>
      </x:c>
      <x:c r="G82" s="126" t="n">
        <x:f>D82/F82*10000</x:f>
        <x:v>86.27392126332201</x:v>
      </x:c>
      <x:c r="H82" s="127" t="n">
        <x:f>1+COUNTIFS($C$4:$C$802,C82,$G$4:$G$802,"&gt;"&amp;G82)</x:f>
        <x:v>44</x:v>
      </x:c>
      <x:c r="I82" s="128" t="n">
        <x:f>D82/SUMIF($C$4:$C$802,C82,$D$4:$D$802)</x:f>
        <x:v>0.003906707190455515</x:v>
      </x:c>
      <x:c r="J82" s="103" t="n">
        <x:f>(D82/SUMIF($A$4:$A$802,A82,$D$4:$D$802))/(SUMIF($C$4:$C$802,C82,$D$4:$D$802)/SUM($D$4:$D$802))</x:f>
        <x:v>0.567870122524051</x:v>
      </x:c>
    </x:row>
    <x:row r="83">
      <x:c r="A83" s="101" t="str">
        <x:v>秋田県</x:v>
      </x:c>
      <x:c r="B83" s="101" t="str">
        <x:v>M</x:v>
      </x:c>
      <x:c r="C83" s="101" t="str">
        <x:v>宿泊業，飲食サービス業</x:v>
      </x:c>
      <x:c r="D83" s="102" t="n">
        <x:v>28088</x:v>
      </x:c>
      <x:c r="E83" s="102" t="n">
        <x:f>1+COUNTIFS($C$4:$C$802,C83,$D$4:$D$802,"&gt;"&amp;D83)</x:f>
        <x:v>42</x:v>
      </x:c>
      <x:c r="F83" s="102" t="n">
        <x:v>959502</x:v>
      </x:c>
      <x:c r="G83" s="126" t="n">
        <x:f>D83/F83*10000</x:f>
        <x:v>292.73518971299694</x:v>
      </x:c>
      <x:c r="H83" s="127" t="n">
        <x:f>1+COUNTIFS($C$4:$C$802,C83,$G$4:$G$802,"&gt;"&amp;G83)</x:f>
        <x:v>45</x:v>
      </x:c>
      <x:c r="I83" s="128" t="n">
        <x:f>D83/SUMIF($C$4:$C$802,C83,$D$4:$D$802)</x:f>
        <x:v>0.006003326964808253</x:v>
      </x:c>
      <x:c r="J83" s="103" t="n">
        <x:f>(D83/SUMIF($A$4:$A$802,A83,$D$4:$D$802))/(SUMIF($C$4:$C$802,C83,$D$4:$D$802)/SUM($D$4:$D$802))</x:f>
        <x:v>0.8726300315996053</x:v>
      </x:c>
    </x:row>
    <x:row r="84">
      <x:c r="A84" s="101" t="str">
        <x:v>秋田県</x:v>
      </x:c>
      <x:c r="B84" s="101" t="str">
        <x:v>N</x:v>
      </x:c>
      <x:c r="C84" s="101" t="str">
        <x:v>生活関連サービス業，娯楽業</x:v>
      </x:c>
      <x:c r="D84" s="102" t="n">
        <x:v>16828</x:v>
      </x:c>
      <x:c r="E84" s="102" t="n">
        <x:f>1+COUNTIFS($C$4:$C$802,C84,$D$4:$D$802,"&gt;"&amp;D84)</x:f>
        <x:v>38</x:v>
      </x:c>
      <x:c r="F84" s="102" t="n">
        <x:v>959502</x:v>
      </x:c>
      <x:c r="G84" s="126" t="n">
        <x:f>D84/F84*10000</x:f>
        <x:v>175.3826464144942</x:v>
      </x:c>
      <x:c r="H84" s="127" t="n">
        <x:f>1+COUNTIFS($C$4:$C$802,C84,$G$4:$G$802,"&gt;"&amp;G84)</x:f>
        <x:v>10</x:v>
      </x:c>
      <x:c r="I84" s="128" t="n">
        <x:f>D84/SUMIF($C$4:$C$802,C84,$D$4:$D$802)</x:f>
        <x:v>0.007732961910980871</x:v>
      </x:c>
      <x:c r="J84" s="103" t="n">
        <x:f>(D84/SUMIF($A$4:$A$802,A84,$D$4:$D$802))/(SUMIF($C$4:$C$802,C84,$D$4:$D$802)/SUM($D$4:$D$802))</x:f>
        <x:v>1.1240458559553592</x:v>
      </x:c>
    </x:row>
    <x:row r="85">
      <x:c r="A85" s="101" t="str">
        <x:v>秋田県</x:v>
      </x:c>
      <x:c r="B85" s="101" t="str">
        <x:v>O</x:v>
      </x:c>
      <x:c r="C85" s="101" t="str">
        <x:v>教育，学習支援業</x:v>
      </x:c>
      <x:c r="D85" s="102" t="n">
        <x:v>9815</x:v>
      </x:c>
      <x:c r="E85" s="102" t="n">
        <x:f>1+COUNTIFS($C$4:$C$802,C85,$D$4:$D$802,"&gt;"&amp;D85)</x:f>
        <x:v>44</x:v>
      </x:c>
      <x:c r="F85" s="102" t="n">
        <x:v>959502</x:v>
      </x:c>
      <x:c r="G85" s="126" t="n">
        <x:f>D85/F85*10000</x:f>
        <x:v>102.29264764429881</x:v>
      </x:c>
      <x:c r="H85" s="127" t="n">
        <x:f>1+COUNTIFS($C$4:$C$802,C85,$G$4:$G$802,"&gt;"&amp;G85)</x:f>
        <x:v>44</x:v>
      </x:c>
      <x:c r="I85" s="128" t="n">
        <x:f>D85/SUMIF($C$4:$C$802,C85,$D$4:$D$802)</x:f>
        <x:v>0.005031439447920629</x:v>
      </x:c>
      <x:c r="J85" s="103" t="n">
        <x:f>(D85/SUMIF($A$4:$A$802,A85,$D$4:$D$802))/(SUMIF($C$4:$C$802,C85,$D$4:$D$802)/SUM($D$4:$D$802))</x:f>
        <x:v>0.7313586599844165</x:v>
      </x:c>
    </x:row>
    <x:row r="86">
      <x:c r="A86" s="101" t="str">
        <x:v>秋田県</x:v>
      </x:c>
      <x:c r="B86" s="101" t="str">
        <x:v>P</x:v>
      </x:c>
      <x:c r="C86" s="101" t="str">
        <x:v>医療，福祉</x:v>
      </x:c>
      <x:c r="D86" s="102" t="n">
        <x:v>68859</x:v>
      </x:c>
      <x:c r="E86" s="102" t="n">
        <x:f>1+COUNTIFS($C$4:$C$802,C86,$D$4:$D$802,"&gt;"&amp;D86)</x:f>
        <x:v>35</x:v>
      </x:c>
      <x:c r="F86" s="102" t="n">
        <x:v>959502</x:v>
      </x:c>
      <x:c r="G86" s="126" t="n">
        <x:f>D86/F86*10000</x:f>
        <x:v>717.6535327701245</x:v>
      </x:c>
      <x:c r="H86" s="127" t="n">
        <x:f>1+COUNTIFS($C$4:$C$802,C86,$G$4:$G$802,"&gt;"&amp;G86)</x:f>
        <x:v>17</x:v>
      </x:c>
      <x:c r="I86" s="128" t="n">
        <x:f>D86/SUMIF($C$4:$C$802,C86,$D$4:$D$802)</x:f>
        <x:v>0.008436123795972703</x:v>
      </x:c>
      <x:c r="J86" s="103" t="n">
        <x:f>(D86/SUMIF($A$4:$A$802,A86,$D$4:$D$802))/(SUMIF($C$4:$C$802,C86,$D$4:$D$802)/SUM($D$4:$D$802))</x:f>
        <x:v>1.2262558774179602</x:v>
      </x:c>
    </x:row>
    <x:row r="87">
      <x:c r="A87" s="101" t="str">
        <x:v>秋田県</x:v>
      </x:c>
      <x:c r="B87" s="101" t="str">
        <x:v>Q</x:v>
      </x:c>
      <x:c r="C87" s="101" t="str">
        <x:v>複合サービス事業</x:v>
      </x:c>
      <x:c r="D87" s="102" t="n">
        <x:v>5864</x:v>
      </x:c>
      <x:c r="E87" s="102" t="n">
        <x:f>1+COUNTIFS($C$4:$C$802,C87,$D$4:$D$802,"&gt;"&amp;D87)</x:f>
        <x:v>29</x:v>
      </x:c>
      <x:c r="F87" s="102" t="n">
        <x:v>959502</x:v>
      </x:c>
      <x:c r="G87" s="126" t="n">
        <x:f>D87/F87*10000</x:f>
        <x:v>61.11503675865188</x:v>
      </x:c>
      <x:c r="H87" s="127" t="n">
        <x:f>1+COUNTIFS($C$4:$C$802,C87,$G$4:$G$802,"&gt;"&amp;G87)</x:f>
        <x:v>3</x:v>
      </x:c>
      <x:c r="I87" s="128" t="n">
        <x:f>D87/SUMIF($C$4:$C$802,C87,$D$4:$D$802)</x:f>
        <x:v>0.013450466775236829</x:v>
      </x:c>
      <x:c r="J87" s="103" t="n">
        <x:f>(D87/SUMIF($A$4:$A$802,A87,$D$4:$D$802))/(SUMIF($C$4:$C$802,C87,$D$4:$D$802)/SUM($D$4:$D$802))</x:f>
        <x:v>1.955129433380653</x:v>
      </x:c>
    </x:row>
    <x:row r="88">
      <x:c r="A88" s="101" t="str">
        <x:v>秋田県</x:v>
      </x:c>
      <x:c r="B88" s="101" t="str">
        <x:v>R</x:v>
      </x:c>
      <x:c r="C88" s="101" t="str">
        <x:v>サービス業（他に分類されないもの）</x:v>
      </x:c>
      <x:c r="D88" s="102" t="n">
        <x:v>27340</x:v>
      </x:c>
      <x:c r="E88" s="102" t="n">
        <x:f>1+COUNTIFS($C$4:$C$802,C88,$D$4:$D$802,"&gt;"&amp;D88)</x:f>
        <x:v>42</x:v>
      </x:c>
      <x:c r="F88" s="102" t="n">
        <x:v>959502</x:v>
      </x:c>
      <x:c r="G88" s="126" t="n">
        <x:f>D88/F88*10000</x:f>
        <x:v>284.939479021409</x:v>
      </x:c>
      <x:c r="H88" s="127" t="n">
        <x:f>1+COUNTIFS($C$4:$C$802,C88,$G$4:$G$802,"&gt;"&amp;G88)</x:f>
        <x:v>42</x:v>
      </x:c>
      <x:c r="I88" s="128" t="n">
        <x:f>D88/SUMIF($C$4:$C$802,C88,$D$4:$D$802)</x:f>
        <x:v>0.005223202097992544</x:v>
      </x:c>
      <x:c r="J88" s="103" t="n">
        <x:f>(D88/SUMIF($A$4:$A$802,A88,$D$4:$D$802))/(SUMIF($C$4:$C$802,C88,$D$4:$D$802)/SUM($D$4:$D$802))</x:f>
        <x:v>0.7592328451442156</x:v>
      </x:c>
    </x:row>
    <x:row r="89">
      <x:c r="A89" s="101" t="str">
        <x:v>山形県</x:v>
      </x:c>
      <x:c r="B89" s="101" t="str">
        <x:v>AB</x:v>
      </x:c>
      <x:c r="C89" s="101" t="str">
        <x:v>農林漁業</x:v>
      </x:c>
      <x:c r="D89" s="102" t="n">
        <x:v>7812</x:v>
      </x:c>
      <x:c r="E89" s="102" t="n">
        <x:f>1+COUNTIFS($C$4:$C$802,C89,$D$4:$D$802,"&gt;"&amp;D89)</x:f>
        <x:v>28</x:v>
      </x:c>
      <x:c r="F89" s="102" t="n">
        <x:v>1068027</x:v>
      </x:c>
      <x:c r="G89" s="126" t="n">
        <x:f>D89/F89*10000</x:f>
        <x:v>73.14421826414501</x:v>
      </x:c>
      <x:c r="H89" s="127" t="n">
        <x:f>1+COUNTIFS($C$4:$C$802,C89,$G$4:$G$802,"&gt;"&amp;G89)</x:f>
        <x:v>14</x:v>
      </x:c>
      <x:c r="I89" s="128" t="n">
        <x:f>D89/SUMIF($C$4:$C$802,C89,$D$4:$D$802)</x:f>
        <x:v>0.017218312420239672</x:v>
      </x:c>
      <x:c r="J89" s="103" t="n">
        <x:f>(D89/SUMIF($A$4:$A$802,A89,$D$4:$D$802))/(SUMIF($C$4:$C$802,C89,$D$4:$D$802)/SUM($D$4:$D$802))</x:f>
        <x:v>2.1421389217518683</x:v>
      </x:c>
    </x:row>
    <x:row r="90">
      <x:c r="A90" s="101" t="str">
        <x:v>山形県</x:v>
      </x:c>
      <x:c r="B90" s="101" t="str">
        <x:v>C</x:v>
      </x:c>
      <x:c r="C90" s="101" t="str">
        <x:v>鉱業，採石業，砂利採取業</x:v>
      </x:c>
      <x:c r="D90" s="102" t="n">
        <x:v>242</x:v>
      </x:c>
      <x:c r="E90" s="102" t="n">
        <x:f>1+COUNTIFS($C$4:$C$802,C90,$D$4:$D$802,"&gt;"&amp;D90)</x:f>
        <x:v>29</x:v>
      </x:c>
      <x:c r="F90" s="102" t="n">
        <x:v>1068027</x:v>
      </x:c>
      <x:c r="G90" s="126" t="n">
        <x:f>D90/F90*10000</x:f>
        <x:v>2.265860320010636</x:v>
      </x:c>
      <x:c r="H90" s="127" t="n">
        <x:f>1+COUNTIFS($C$4:$C$802,C90,$G$4:$G$802,"&gt;"&amp;G90)</x:f>
        <x:v>19</x:v>
      </x:c>
      <x:c r="I90" s="128" t="n">
        <x:f>D90/SUMIF($C$4:$C$802,C90,$D$4:$D$802)</x:f>
        <x:v>0.012286134944407778</x:v>
      </x:c>
      <x:c r="J90" s="103" t="n">
        <x:f>(D90/SUMIF($A$4:$A$802,A90,$D$4:$D$802))/(SUMIF($C$4:$C$802,C90,$D$4:$D$802)/SUM($D$4:$D$802))</x:f>
        <x:v>1.5285242374493564</x:v>
      </x:c>
    </x:row>
    <x:row r="91">
      <x:c r="A91" s="101" t="str">
        <x:v>山形県</x:v>
      </x:c>
      <x:c r="B91" s="101" t="str">
        <x:v>D</x:v>
      </x:c>
      <x:c r="C91" s="101" t="str">
        <x:v>建設業</x:v>
      </x:c>
      <x:c r="D91" s="102" t="n">
        <x:v>40469</x:v>
      </x:c>
      <x:c r="E91" s="102" t="n">
        <x:f>1+COUNTIFS($C$4:$C$802,C91,$D$4:$D$802,"&gt;"&amp;D91)</x:f>
        <x:v>31</x:v>
      </x:c>
      <x:c r="F91" s="102" t="n">
        <x:v>1068027</x:v>
      </x:c>
      <x:c r="G91" s="126" t="n">
        <x:f>D91/F91*10000</x:f>
        <x:v>378.91364169632413</x:v>
      </x:c>
      <x:c r="H91" s="127" t="n">
        <x:f>1+COUNTIFS($C$4:$C$802,C91,$G$4:$G$802,"&gt;"&amp;G91)</x:f>
        <x:v>9</x:v>
      </x:c>
      <x:c r="I91" s="128" t="n">
        <x:f>D91/SUMIF($C$4:$C$802,C91,$D$4:$D$802)</x:f>
        <x:v>0.0108280723441202</x:v>
      </x:c>
      <x:c r="J91" s="103" t="n">
        <x:f>(D91/SUMIF($A$4:$A$802,A91,$D$4:$D$802))/(SUMIF($C$4:$C$802,C91,$D$4:$D$802)/SUM($D$4:$D$802))</x:f>
        <x:v>1.3471259348633657</x:v>
      </x:c>
    </x:row>
    <x:row r="92">
      <x:c r="A92" s="101" t="str">
        <x:v>山形県</x:v>
      </x:c>
      <x:c r="B92" s="101" t="str">
        <x:v>E</x:v>
      </x:c>
      <x:c r="C92" s="101" t="str">
        <x:v>製造業</x:v>
      </x:c>
      <x:c r="D92" s="102" t="n">
        <x:v>103624</x:v>
      </x:c>
      <x:c r="E92" s="102" t="n">
        <x:f>1+COUNTIFS($C$4:$C$802,C92,$D$4:$D$802,"&gt;"&amp;D92)</x:f>
        <x:v>26</x:v>
      </x:c>
      <x:c r="F92" s="102" t="n">
        <x:v>1068027</x:v>
      </x:c>
      <x:c r="G92" s="126" t="n">
        <x:f>D92/F92*10000</x:f>
        <x:v>970.2376438048851</x:v>
      </x:c>
      <x:c r="H92" s="127" t="n">
        <x:f>1+COUNTIFS($C$4:$C$802,C92,$G$4:$G$802,"&gt;"&amp;G92)</x:f>
        <x:v>12</x:v>
      </x:c>
      <x:c r="I92" s="128" t="n">
        <x:f>D92/SUMIF($C$4:$C$802,C92,$D$4:$D$802)</x:f>
        <x:v>0.011770581792105836</x:v>
      </x:c>
      <x:c r="J92" s="103" t="n">
        <x:f>(D92/SUMIF($A$4:$A$802,A92,$D$4:$D$802))/(SUMIF($C$4:$C$802,C92,$D$4:$D$802)/SUM($D$4:$D$802))</x:f>
        <x:v>1.464384010066812</x:v>
      </x:c>
    </x:row>
    <x:row r="93">
      <x:c r="A93" s="101" t="str">
        <x:v>山形県</x:v>
      </x:c>
      <x:c r="B93" s="101" t="str">
        <x:v>F</x:v>
      </x:c>
      <x:c r="C93" s="101" t="str">
        <x:v>電気・ガス・熱供給・水道業</x:v>
      </x:c>
      <x:c r="D93" s="102" t="n">
        <x:v>1476</x:v>
      </x:c>
      <x:c r="E93" s="102" t="n">
        <x:f>1+COUNTIFS($C$4:$C$802,C93,$D$4:$D$802,"&gt;"&amp;D93)</x:f>
        <x:v>40</x:v>
      </x:c>
      <x:c r="F93" s="102" t="n">
        <x:v>1068027</x:v>
      </x:c>
      <x:c r="G93" s="126" t="n">
        <x:f>D93/F93*10000</x:f>
        <x:v>13.819875340230162</x:v>
      </x:c>
      <x:c r="H93" s="127" t="n">
        <x:f>1+COUNTIFS($C$4:$C$802,C93,$G$4:$G$802,"&gt;"&amp;G93)</x:f>
        <x:v>30</x:v>
      </x:c>
      <x:c r="I93" s="128" t="n">
        <x:f>D93/SUMIF($C$4:$C$802,C93,$D$4:$D$802)</x:f>
        <x:v>0.007301544900048974</x:v>
      </x:c>
      <x:c r="J93" s="103" t="n">
        <x:f>(D93/SUMIF($A$4:$A$802,A93,$D$4:$D$802))/(SUMIF($C$4:$C$802,C93,$D$4:$D$802)/SUM($D$4:$D$802))</x:f>
        <x:v>0.9083888790941133</x:v>
      </x:c>
    </x:row>
    <x:row r="94">
      <x:c r="A94" s="101" t="str">
        <x:v>山形県</x:v>
      </x:c>
      <x:c r="B94" s="101" t="str">
        <x:v>G</x:v>
      </x:c>
      <x:c r="C94" s="101" t="str">
        <x:v>情報通信業</x:v>
      </x:c>
      <x:c r="D94" s="102" t="n">
        <x:v>3635</x:v>
      </x:c>
      <x:c r="E94" s="102" t="n">
        <x:f>1+COUNTIFS($C$4:$C$802,C94,$D$4:$D$802,"&gt;"&amp;D94)</x:f>
        <x:v>39</x:v>
      </x:c>
      <x:c r="F94" s="102" t="n">
        <x:v>1068027</x:v>
      </x:c>
      <x:c r="G94" s="126" t="n">
        <x:f>D94/F94*10000</x:f>
        <x:v>34.034720096027534</x:v>
      </x:c>
      <x:c r="H94" s="127" t="n">
        <x:f>1+COUNTIFS($C$4:$C$802,C94,$G$4:$G$802,"&gt;"&amp;G94)</x:f>
        <x:v>41</x:v>
      </x:c>
      <x:c r="I94" s="128" t="n">
        <x:f>D94/SUMIF($C$4:$C$802,C94,$D$4:$D$802)</x:f>
        <x:v>0.0018295392832534494</x:v>
      </x:c>
      <x:c r="J94" s="103" t="n">
        <x:f>(D94/SUMIF($A$4:$A$802,A94,$D$4:$D$802))/(SUMIF($C$4:$C$802,C94,$D$4:$D$802)/SUM($D$4:$D$802))</x:f>
        <x:v>0.22761390384137759</x:v>
      </x:c>
    </x:row>
    <x:row r="95">
      <x:c r="A95" s="101" t="str">
        <x:v>山形県</x:v>
      </x:c>
      <x:c r="B95" s="101" t="str">
        <x:v>H</x:v>
      </x:c>
      <x:c r="C95" s="101" t="str">
        <x:v>運輸業，郵便業</x:v>
      </x:c>
      <x:c r="D95" s="102" t="n">
        <x:v>18300</x:v>
      </x:c>
      <x:c r="E95" s="102" t="n">
        <x:f>1+COUNTIFS($C$4:$C$802,C95,$D$4:$D$802,"&gt;"&amp;D95)</x:f>
        <x:v>41</x:v>
      </x:c>
      <x:c r="F95" s="102" t="n">
        <x:v>1068027</x:v>
      </x:c>
      <x:c r="G95" s="126" t="n">
        <x:f>D95/F95*10000</x:f>
        <x:v>171.3439828768374</x:v>
      </x:c>
      <x:c r="H95" s="127" t="n">
        <x:f>1+COUNTIFS($C$4:$C$802,C95,$G$4:$G$802,"&gt;"&amp;G95)</x:f>
        <x:v>46</x:v>
      </x:c>
      <x:c r="I95" s="128" t="n">
        <x:f>D95/SUMIF($C$4:$C$802,C95,$D$4:$D$802)</x:f>
        <x:v>0.0056053571286359015</x:v>
      </x:c>
      <x:c r="J95" s="103" t="n">
        <x:f>(D95/SUMIF($A$4:$A$802,A95,$D$4:$D$802))/(SUMIF($C$4:$C$802,C95,$D$4:$D$802)/SUM($D$4:$D$802))</x:f>
        <x:v>0.6973653040152653</x:v>
      </x:c>
    </x:row>
    <x:row r="96">
      <x:c r="A96" s="101" t="str">
        <x:v>山形県</x:v>
      </x:c>
      <x:c r="B96" s="101" t="str">
        <x:v>I</x:v>
      </x:c>
      <x:c r="C96" s="101" t="str">
        <x:v>卸売業，小売業</x:v>
      </x:c>
      <x:c r="D96" s="102" t="n">
        <x:v>90446</x:v>
      </x:c>
      <x:c r="E96" s="102" t="n">
        <x:f>1+COUNTIFS($C$4:$C$802,C96,$D$4:$D$802,"&gt;"&amp;D96)</x:f>
        <x:v>36</x:v>
      </x:c>
      <x:c r="F96" s="102" t="n">
        <x:v>1068027</x:v>
      </x:c>
      <x:c r="G96" s="126" t="n">
        <x:f>D96/F96*10000</x:f>
        <x:v>846.8512500152149</x:v>
      </x:c>
      <x:c r="H96" s="127" t="n">
        <x:f>1+COUNTIFS($C$4:$C$802,C96,$G$4:$G$802,"&gt;"&amp;G96)</x:f>
        <x:v>27</x:v>
      </x:c>
      <x:c r="I96" s="128" t="n">
        <x:f>D96/SUMIF($C$4:$C$802,C96,$D$4:$D$802)</x:f>
        <x:v>0.007789062346601649</x:v>
      </x:c>
      <x:c r="J96" s="103" t="n">
        <x:f>(D96/SUMIF($A$4:$A$802,A96,$D$4:$D$802))/(SUMIF($C$4:$C$802,C96,$D$4:$D$802)/SUM($D$4:$D$802))</x:f>
        <x:v>0.9690411702016892</x:v>
      </x:c>
    </x:row>
    <x:row r="97">
      <x:c r="A97" s="101" t="str">
        <x:v>山形県</x:v>
      </x:c>
      <x:c r="B97" s="101" t="str">
        <x:v>J</x:v>
      </x:c>
      <x:c r="C97" s="101" t="str">
        <x:v>金融業，保険業</x:v>
      </x:c>
      <x:c r="D97" s="102" t="n">
        <x:v>11476</x:v>
      </x:c>
      <x:c r="E97" s="102" t="n">
        <x:f>1+COUNTIFS($C$4:$C$802,C97,$D$4:$D$802,"&gt;"&amp;D97)</x:f>
        <x:v>34</x:v>
      </x:c>
      <x:c r="F97" s="102" t="n">
        <x:v>1068027</x:v>
      </x:c>
      <x:c r="G97" s="126" t="n">
        <x:f>D97/F97*10000</x:f>
        <x:v>107.45046707620688</x:v>
      </x:c>
      <x:c r="H97" s="127" t="n">
        <x:f>1+COUNTIFS($C$4:$C$802,C97,$G$4:$G$802,"&gt;"&amp;G97)</x:f>
        <x:v>10</x:v>
      </x:c>
      <x:c r="I97" s="128" t="n">
        <x:f>D97/SUMIF($C$4:$C$802,C97,$D$4:$D$802)</x:f>
        <x:v>0.007679151198177774</x:v>
      </x:c>
      <x:c r="J97" s="103" t="n">
        <x:f>(D97/SUMIF($A$4:$A$802,A97,$D$4:$D$802))/(SUMIF($C$4:$C$802,C97,$D$4:$D$802)/SUM($D$4:$D$802))</x:f>
        <x:v>0.9553670688596514</x:v>
      </x:c>
    </x:row>
    <x:row r="98">
      <x:c r="A98" s="101" t="str">
        <x:v>山形県</x:v>
      </x:c>
      <x:c r="B98" s="101" t="str">
        <x:v>K</x:v>
      </x:c>
      <x:c r="C98" s="101" t="str">
        <x:v>不動産業，物品賃貸業</x:v>
      </x:c>
      <x:c r="D98" s="102" t="n">
        <x:v>7753</x:v>
      </x:c>
      <x:c r="E98" s="102" t="n">
        <x:f>1+COUNTIFS($C$4:$C$802,C98,$D$4:$D$802,"&gt;"&amp;D98)</x:f>
        <x:v>38</x:v>
      </x:c>
      <x:c r="F98" s="102" t="n">
        <x:v>1068027</x:v>
      </x:c>
      <x:c r="G98" s="126" t="n">
        <x:f>D98/F98*10000</x:f>
        <x:v>72.59179777290275</x:v>
      </x:c>
      <x:c r="H98" s="127" t="n">
        <x:f>1+COUNTIFS($C$4:$C$802,C98,$G$4:$G$802,"&gt;"&amp;G98)</x:f>
        <x:v>43</x:v>
      </x:c>
      <x:c r="I98" s="128" t="n">
        <x:f>D98/SUMIF($C$4:$C$802,C98,$D$4:$D$802)</x:f>
        <x:v>0.004791309517482439</x:v>
      </x:c>
      <x:c r="J98" s="103" t="n">
        <x:f>(D98/SUMIF($A$4:$A$802,A98,$D$4:$D$802))/(SUMIF($C$4:$C$802,C98,$D$4:$D$802)/SUM($D$4:$D$802))</x:f>
        <x:v>0.5960892306434542</x:v>
      </x:c>
    </x:row>
    <x:row r="99">
      <x:c r="A99" s="101" t="str">
        <x:v>山形県</x:v>
      </x:c>
      <x:c r="B99" s="101" t="str">
        <x:v>L</x:v>
      </x:c>
      <x:c r="C99" s="101" t="str">
        <x:v>学術研究，専門・技術サービス業</x:v>
      </x:c>
      <x:c r="D99" s="102" t="n">
        <x:v>9291</x:v>
      </x:c>
      <x:c r="E99" s="102" t="n">
        <x:f>1+COUNTIFS($C$4:$C$802,C99,$D$4:$D$802,"&gt;"&amp;D99)</x:f>
        <x:v>38</x:v>
      </x:c>
      <x:c r="F99" s="102" t="n">
        <x:v>1068027</x:v>
      </x:c>
      <x:c r="G99" s="126" t="n">
        <x:f>D99/F99*10000</x:f>
        <x:v>86.99218278189596</x:v>
      </x:c>
      <x:c r="H99" s="127" t="n">
        <x:f>1+COUNTIFS($C$4:$C$802,C99,$G$4:$G$802,"&gt;"&amp;G99)</x:f>
        <x:v>43</x:v>
      </x:c>
      <x:c r="I99" s="128" t="n">
        <x:f>D99/SUMIF($C$4:$C$802,C99,$D$4:$D$802)</x:f>
        <x:v>0.004384780926132181</x:v>
      </x:c>
      <x:c r="J99" s="103" t="n">
        <x:f>(D99/SUMIF($A$4:$A$802,A99,$D$4:$D$802))/(SUMIF($C$4:$C$802,C99,$D$4:$D$802)/SUM($D$4:$D$802))</x:f>
        <x:v>0.5455128038089231</x:v>
      </x:c>
    </x:row>
    <x:row r="100">
      <x:c r="A100" s="101" t="str">
        <x:v>山形県</x:v>
      </x:c>
      <x:c r="B100" s="101" t="str">
        <x:v>M</x:v>
      </x:c>
      <x:c r="C100" s="101" t="str">
        <x:v>宿泊業，飲食サービス業</x:v>
      </x:c>
      <x:c r="D100" s="102" t="n">
        <x:v>34332</x:v>
      </x:c>
      <x:c r="E100" s="102" t="n">
        <x:f>1+COUNTIFS($C$4:$C$802,C100,$D$4:$D$802,"&gt;"&amp;D100)</x:f>
        <x:v>37</x:v>
      </x:c>
      <x:c r="F100" s="102" t="n">
        <x:v>1068027</x:v>
      </x:c>
      <x:c r="G100" s="126" t="n">
        <x:f>D100/F100*10000</x:f>
        <x:v>321.45254754795525</x:v>
      </x:c>
      <x:c r="H100" s="127" t="n">
        <x:f>1+COUNTIFS($C$4:$C$802,C100,$G$4:$G$802,"&gt;"&amp;G100)</x:f>
        <x:v>37</x:v>
      </x:c>
      <x:c r="I100" s="128" t="n">
        <x:f>D100/SUMIF($C$4:$C$802,C100,$D$4:$D$802)</x:f>
        <x:v>0.007337874585438512</x:v>
      </x:c>
      <x:c r="J100" s="103" t="n">
        <x:f>(D100/SUMIF($A$4:$A$802,A100,$D$4:$D$802))/(SUMIF($C$4:$C$802,C100,$D$4:$D$802)/SUM($D$4:$D$802))</x:f>
        <x:v>0.9129086735541354</x:v>
      </x:c>
    </x:row>
    <x:row r="101">
      <x:c r="A101" s="101" t="str">
        <x:v>山形県</x:v>
      </x:c>
      <x:c r="B101" s="101" t="str">
        <x:v>N</x:v>
      </x:c>
      <x:c r="C101" s="101" t="str">
        <x:v>生活関連サービス業，娯楽業</x:v>
      </x:c>
      <x:c r="D101" s="102" t="n">
        <x:v>18647</x:v>
      </x:c>
      <x:c r="E101" s="102" t="n">
        <x:f>1+COUNTIFS($C$4:$C$802,C101,$D$4:$D$802,"&gt;"&amp;D101)</x:f>
        <x:v>34</x:v>
      </x:c>
      <x:c r="F101" s="102" t="n">
        <x:v>1068027</x:v>
      </x:c>
      <x:c r="G101" s="126" t="n">
        <x:f>D101/F101*10000</x:f>
        <x:v>174.59296441007578</x:v>
      </x:c>
      <x:c r="H101" s="127" t="n">
        <x:f>1+COUNTIFS($C$4:$C$802,C101,$G$4:$G$802,"&gt;"&amp;G101)</x:f>
        <x:v>11</x:v>
      </x:c>
      <x:c r="I101" s="128" t="n">
        <x:f>D101/SUMIF($C$4:$C$802,C101,$D$4:$D$802)</x:f>
        <x:v>0.008568846015810571</x:v>
      </x:c>
      <x:c r="J101" s="103" t="n">
        <x:f>(D101/SUMIF($A$4:$A$802,A101,$D$4:$D$802))/(SUMIF($C$4:$C$802,C101,$D$4:$D$802)/SUM($D$4:$D$802))</x:f>
        <x:v>1.066054449296068</x:v>
      </x:c>
    </x:row>
    <x:row r="102">
      <x:c r="A102" s="101" t="str">
        <x:v>山形県</x:v>
      </x:c>
      <x:c r="B102" s="101" t="str">
        <x:v>O</x:v>
      </x:c>
      <x:c r="C102" s="101" t="str">
        <x:v>教育，学習支援業</x:v>
      </x:c>
      <x:c r="D102" s="102" t="n">
        <x:v>11775</x:v>
      </x:c>
      <x:c r="E102" s="102" t="n">
        <x:f>1+COUNTIFS($C$4:$C$802,C102,$D$4:$D$802,"&gt;"&amp;D102)</x:f>
        <x:v>38</x:v>
      </x:c>
      <x:c r="F102" s="102" t="n">
        <x:v>1068027</x:v>
      </x:c>
      <x:c r="G102" s="126" t="n">
        <x:f>D102/F102*10000</x:f>
        <x:v>110.25002176911258</x:v>
      </x:c>
      <x:c r="H102" s="127" t="n">
        <x:f>1+COUNTIFS($C$4:$C$802,C102,$G$4:$G$802,"&gt;"&amp;G102)</x:f>
        <x:v>41</x:v>
      </x:c>
      <x:c r="I102" s="128" t="n">
        <x:f>D102/SUMIF($C$4:$C$802,C102,$D$4:$D$802)</x:f>
        <x:v>0.0060361894548411005</x:v>
      </x:c>
      <x:c r="J102" s="103" t="n">
        <x:f>(D102/SUMIF($A$4:$A$802,A102,$D$4:$D$802))/(SUMIF($C$4:$C$802,C102,$D$4:$D$802)/SUM($D$4:$D$802))</x:f>
        <x:v>0.7509653707458589</x:v>
      </x:c>
    </x:row>
    <x:row r="103">
      <x:c r="A103" s="101" t="str">
        <x:v>山形県</x:v>
      </x:c>
      <x:c r="B103" s="101" t="str">
        <x:v>P</x:v>
      </x:c>
      <x:c r="C103" s="101" t="str">
        <x:v>医療，福祉</x:v>
      </x:c>
      <x:c r="D103" s="102" t="n">
        <x:v>67668</x:v>
      </x:c>
      <x:c r="E103" s="102" t="n">
        <x:f>1+COUNTIFS($C$4:$C$802,C103,$D$4:$D$802,"&gt;"&amp;D103)</x:f>
        <x:v>38</x:v>
      </x:c>
      <x:c r="F103" s="102" t="n">
        <x:v>1068027</x:v>
      </x:c>
      <x:c r="G103" s="126" t="n">
        <x:f>D103/F103*10000</x:f>
        <x:v>633.5794881590072</x:v>
      </x:c>
      <x:c r="H103" s="127" t="n">
        <x:f>1+COUNTIFS($C$4:$C$802,C103,$G$4:$G$802,"&gt;"&amp;G103)</x:f>
        <x:v>26</x:v>
      </x:c>
      <x:c r="I103" s="128" t="n">
        <x:f>D103/SUMIF($C$4:$C$802,C103,$D$4:$D$802)</x:f>
        <x:v>0.00829021079344575</x:v>
      </x:c>
      <x:c r="J103" s="103" t="n">
        <x:f>(D103/SUMIF($A$4:$A$802,A103,$D$4:$D$802))/(SUMIF($C$4:$C$802,C103,$D$4:$D$802)/SUM($D$4:$D$802))</x:f>
        <x:v>1.0313893009219997</x:v>
      </x:c>
    </x:row>
    <x:row r="104">
      <x:c r="A104" s="101" t="str">
        <x:v>山形県</x:v>
      </x:c>
      <x:c r="B104" s="101" t="str">
        <x:v>Q</x:v>
      </x:c>
      <x:c r="C104" s="101" t="str">
        <x:v>複合サービス事業</x:v>
      </x:c>
      <x:c r="D104" s="102" t="n">
        <x:v>6536</x:v>
      </x:c>
      <x:c r="E104" s="102" t="n">
        <x:f>1+COUNTIFS($C$4:$C$802,C104,$D$4:$D$802,"&gt;"&amp;D104)</x:f>
        <x:v>26</x:v>
      </x:c>
      <x:c r="F104" s="102" t="n">
        <x:v>1068027</x:v>
      </x:c>
      <x:c r="G104" s="126" t="n">
        <x:f>D104/F104*10000</x:f>
        <x:v>61.19695475863438</x:v>
      </x:c>
      <x:c r="H104" s="127" t="n">
        <x:f>1+COUNTIFS($C$4:$C$802,C104,$G$4:$G$802,"&gt;"&amp;G104)</x:f>
        <x:v>2</x:v>
      </x:c>
      <x:c r="I104" s="128" t="n">
        <x:f>D104/SUMIF($C$4:$C$802,C104,$D$4:$D$802)</x:f>
        <x:v>0.01499185723788334</x:v>
      </x:c>
      <x:c r="J104" s="103" t="n">
        <x:f>(D104/SUMIF($A$4:$A$802,A104,$D$4:$D$802))/(SUMIF($C$4:$C$802,C104,$D$4:$D$802)/SUM($D$4:$D$802))</x:f>
        <x:v>1.865144510960752</x:v>
      </x:c>
    </x:row>
    <x:row r="105">
      <x:c r="A105" s="101" t="str">
        <x:v>山形県</x:v>
      </x:c>
      <x:c r="B105" s="101" t="str">
        <x:v>R</x:v>
      </x:c>
      <x:c r="C105" s="101" t="str">
        <x:v>サービス業（他に分類されないもの）</x:v>
      </x:c>
      <x:c r="D105" s="102" t="n">
        <x:v>32314</x:v>
      </x:c>
      <x:c r="E105" s="102" t="n">
        <x:f>1+COUNTIFS($C$4:$C$802,C105,$D$4:$D$802,"&gt;"&amp;D105)</x:f>
        <x:v>37</x:v>
      </x:c>
      <x:c r="F105" s="102" t="n">
        <x:v>1068027</x:v>
      </x:c>
      <x:c r="G105" s="126" t="n">
        <x:f>D105/F105*10000</x:f>
        <x:v>302.55789413563514</x:v>
      </x:c>
      <x:c r="H105" s="127" t="n">
        <x:f>1+COUNTIFS($C$4:$C$802,C105,$G$4:$G$802,"&gt;"&amp;G105)</x:f>
        <x:v>36</x:v>
      </x:c>
      <x:c r="I105" s="128" t="n">
        <x:f>D105/SUMIF($C$4:$C$802,C105,$D$4:$D$802)</x:f>
        <x:v>0.006173465713040639</x:v>
      </x:c>
      <x:c r="J105" s="103" t="n">
        <x:f>(D105/SUMIF($A$4:$A$802,A105,$D$4:$D$802))/(SUMIF($C$4:$C$802,C105,$D$4:$D$802)/SUM($D$4:$D$802))</x:f>
        <x:v>0.7680439791799831</x:v>
      </x:c>
    </x:row>
    <x:row r="106">
      <x:c r="A106" s="101" t="str">
        <x:v>福島県</x:v>
      </x:c>
      <x:c r="B106" s="101" t="str">
        <x:v>AB</x:v>
      </x:c>
      <x:c r="C106" s="101" t="str">
        <x:v>農林漁業</x:v>
      </x:c>
      <x:c r="D106" s="102" t="n">
        <x:v>9712</x:v>
      </x:c>
      <x:c r="E106" s="102" t="n">
        <x:f>1+COUNTIFS($C$4:$C$802,C106,$D$4:$D$802,"&gt;"&amp;D106)</x:f>
        <x:v>18</x:v>
      </x:c>
      <x:c r="F106" s="102" t="n">
        <x:v>1833152</x:v>
      </x:c>
      <x:c r="G106" s="126" t="n">
        <x:f>D106/F106*10000</x:f>
        <x:v>52.979785636979365</x:v>
      </x:c>
      <x:c r="H106" s="127" t="n">
        <x:f>1+COUNTIFS($C$4:$C$802,C106,$G$4:$G$802,"&gt;"&amp;G106)</x:f>
        <x:v>23</x:v>
      </x:c>
      <x:c r="I106" s="128" t="n">
        <x:f>D106/SUMIF($C$4:$C$802,C106,$D$4:$D$802)</x:f>
        <x:v>0.02140607401758419</x:v>
      </x:c>
      <x:c r="J106" s="103" t="n">
        <x:f>(D106/SUMIF($A$4:$A$802,A106,$D$4:$D$802))/(SUMIF($C$4:$C$802,C106,$D$4:$D$802)/SUM($D$4:$D$802))</x:f>
        <x:v>1.5460297617701573</x:v>
      </x:c>
    </x:row>
    <x:row r="107">
      <x:c r="A107" s="101" t="str">
        <x:v>福島県</x:v>
      </x:c>
      <x:c r="B107" s="101" t="str">
        <x:v>C</x:v>
      </x:c>
      <x:c r="C107" s="101" t="str">
        <x:v>鉱業，採石業，砂利採取業</x:v>
      </x:c>
      <x:c r="D107" s="102" t="n">
        <x:v>524</x:v>
      </x:c>
      <x:c r="E107" s="102" t="n">
        <x:f>1+COUNTIFS($C$4:$C$802,C107,$D$4:$D$802,"&gt;"&amp;D107)</x:f>
        <x:v>11</x:v>
      </x:c>
      <x:c r="F107" s="102" t="n">
        <x:v>1833152</x:v>
      </x:c>
      <x:c r="G107" s="126" t="n">
        <x:f>D107/F107*10000</x:f>
        <x:v>2.85846454631149</x:v>
      </x:c>
      <x:c r="H107" s="127" t="n">
        <x:f>1+COUNTIFS($C$4:$C$802,C107,$G$4:$G$802,"&gt;"&amp;G107)</x:f>
        <x:v>15</x:v>
      </x:c>
      <x:c r="I107" s="128" t="n">
        <x:f>D107/SUMIF($C$4:$C$802,C107,$D$4:$D$802)</x:f>
        <x:v>0.026603035995329236</x:v>
      </x:c>
      <x:c r="J107" s="103" t="n">
        <x:f>(D107/SUMIF($A$4:$A$802,A107,$D$4:$D$802))/(SUMIF($C$4:$C$802,C107,$D$4:$D$802)/SUM($D$4:$D$802))</x:f>
        <x:v>1.9213745298851141</x:v>
      </x:c>
    </x:row>
    <x:row r="108">
      <x:c r="A108" s="101" t="str">
        <x:v>福島県</x:v>
      </x:c>
      <x:c r="B108" s="101" t="str">
        <x:v>D</x:v>
      </x:c>
      <x:c r="C108" s="101" t="str">
        <x:v>建設業</x:v>
      </x:c>
      <x:c r="D108" s="102" t="n">
        <x:v>79386</x:v>
      </x:c>
      <x:c r="E108" s="102" t="n">
        <x:f>1+COUNTIFS($C$4:$C$802,C108,$D$4:$D$802,"&gt;"&amp;D108)</x:f>
        <x:v>15</x:v>
      </x:c>
      <x:c r="F108" s="102" t="n">
        <x:v>1833152</x:v>
      </x:c>
      <x:c r="G108" s="126" t="n">
        <x:f>D108/F108*10000</x:f>
        <x:v>433.05737876619065</x:v>
      </x:c>
      <x:c r="H108" s="127" t="n">
        <x:f>1+COUNTIFS($C$4:$C$802,C108,$G$4:$G$802,"&gt;"&amp;G108)</x:f>
        <x:v>1</x:v>
      </x:c>
      <x:c r="I108" s="128" t="n">
        <x:f>D108/SUMIF($C$4:$C$802,C108,$D$4:$D$802)</x:f>
        <x:v>0.021240884408073493</x:v>
      </x:c>
      <x:c r="J108" s="103" t="n">
        <x:f>(D108/SUMIF($A$4:$A$802,A108,$D$4:$D$802))/(SUMIF($C$4:$C$802,C108,$D$4:$D$802)/SUM($D$4:$D$802))</x:f>
        <x:v>1.5340991269218924</x:v>
      </x:c>
    </x:row>
    <x:row r="109">
      <x:c r="A109" s="101" t="str">
        <x:v>福島県</x:v>
      </x:c>
      <x:c r="B109" s="101" t="str">
        <x:v>E</x:v>
      </x:c>
      <x:c r="C109" s="101" t="str">
        <x:v>製造業</x:v>
      </x:c>
      <x:c r="D109" s="102" t="n">
        <x:v>164260</x:v>
      </x:c>
      <x:c r="E109" s="102" t="n">
        <x:f>1+COUNTIFS($C$4:$C$802,C109,$D$4:$D$802,"&gt;"&amp;D109)</x:f>
        <x:v>21</x:v>
      </x:c>
      <x:c r="F109" s="102" t="n">
        <x:v>1833152</x:v>
      </x:c>
      <x:c r="G109" s="126" t="n">
        <x:f>D109/F109*10000</x:f>
        <x:v>896.0522640784833</x:v>
      </x:c>
      <x:c r="H109" s="127" t="n">
        <x:f>1+COUNTIFS($C$4:$C$802,C109,$G$4:$G$802,"&gt;"&amp;G109)</x:f>
        <x:v>15</x:v>
      </x:c>
      <x:c r="I109" s="128" t="n">
        <x:f>D109/SUMIF($C$4:$C$802,C109,$D$4:$D$802)</x:f>
        <x:v>0.018658185026357837</x:v>
      </x:c>
      <x:c r="J109" s="103" t="n">
        <x:f>(D109/SUMIF($A$4:$A$802,A109,$D$4:$D$802))/(SUMIF($C$4:$C$802,C109,$D$4:$D$802)/SUM($D$4:$D$802))</x:f>
        <x:v>1.3475665517958901</x:v>
      </x:c>
    </x:row>
    <x:row r="110">
      <x:c r="A110" s="101" t="str">
        <x:v>福島県</x:v>
      </x:c>
      <x:c r="B110" s="101" t="str">
        <x:v>F</x:v>
      </x:c>
      <x:c r="C110" s="101" t="str">
        <x:v>電気・ガス・熱供給・水道業</x:v>
      </x:c>
      <x:c r="D110" s="102" t="n">
        <x:v>3088</x:v>
      </x:c>
      <x:c r="E110" s="102" t="n">
        <x:f>1+COUNTIFS($C$4:$C$802,C110,$D$4:$D$802,"&gt;"&amp;D110)</x:f>
        <x:v>19</x:v>
      </x:c>
      <x:c r="F110" s="102" t="n">
        <x:v>1833152</x:v>
      </x:c>
      <x:c r="G110" s="126" t="n">
        <x:f>D110/F110*10000</x:f>
        <x:v>16.84530251719443</x:v>
      </x:c>
      <x:c r="H110" s="127" t="n">
        <x:f>1+COUNTIFS($C$4:$C$802,C110,$G$4:$G$802,"&gt;"&amp;G110)</x:f>
        <x:v>18</x:v>
      </x:c>
      <x:c r="I110" s="128" t="n">
        <x:f>D110/SUMIF($C$4:$C$802,C110,$D$4:$D$802)</x:f>
        <x:v>0.015275860874899207</x:v>
      </x:c>
      <x:c r="J110" s="103" t="n">
        <x:f>(D110/SUMIF($A$4:$A$802,A110,$D$4:$D$802))/(SUMIF($C$4:$C$802,C110,$D$4:$D$802)/SUM($D$4:$D$802))</x:f>
        <x:v>1.1032819717363478</x:v>
      </x:c>
    </x:row>
    <x:row r="111">
      <x:c r="A111" s="101" t="str">
        <x:v>福島県</x:v>
      </x:c>
      <x:c r="B111" s="101" t="str">
        <x:v>G</x:v>
      </x:c>
      <x:c r="C111" s="101" t="str">
        <x:v>情報通信業</x:v>
      </x:c>
      <x:c r="D111" s="102" t="n">
        <x:v>6845</x:v>
      </x:c>
      <x:c r="E111" s="102" t="n">
        <x:f>1+COUNTIFS($C$4:$C$802,C111,$D$4:$D$802,"&gt;"&amp;D111)</x:f>
        <x:v>25</x:v>
      </x:c>
      <x:c r="F111" s="102" t="n">
        <x:v>1833152</x:v>
      </x:c>
      <x:c r="G111" s="126" t="n">
        <x:f>D111/F111*10000</x:f>
        <x:v>37.340056907446844</x:v>
      </x:c>
      <x:c r="H111" s="127" t="n">
        <x:f>1+COUNTIFS($C$4:$C$802,C111,$G$4:$G$802,"&gt;"&amp;G111)</x:f>
        <x:v>38</x:v>
      </x:c>
      <x:c r="I111" s="128" t="n">
        <x:f>D111/SUMIF($C$4:$C$802,C111,$D$4:$D$802)</x:f>
        <x:v>0.003445170947419494</x:v>
      </x:c>
      <x:c r="J111" s="103" t="n">
        <x:f>(D111/SUMIF($A$4:$A$802,A111,$D$4:$D$802))/(SUMIF($C$4:$C$802,C111,$D$4:$D$802)/SUM($D$4:$D$802))</x:f>
        <x:v>0.2488236196287589</x:v>
      </x:c>
    </x:row>
    <x:row r="112">
      <x:c r="A112" s="101" t="str">
        <x:v>福島県</x:v>
      </x:c>
      <x:c r="B112" s="101" t="str">
        <x:v>H</x:v>
      </x:c>
      <x:c r="C112" s="101" t="str">
        <x:v>運輸業，郵便業</x:v>
      </x:c>
      <x:c r="D112" s="102" t="n">
        <x:v>42141</x:v>
      </x:c>
      <x:c r="E112" s="102" t="n">
        <x:f>1+COUNTIFS($C$4:$C$802,C112,$D$4:$D$802,"&gt;"&amp;D112)</x:f>
        <x:v>20</x:v>
      </x:c>
      <x:c r="F112" s="102" t="n">
        <x:v>1833152</x:v>
      </x:c>
      <x:c r="G112" s="126" t="n">
        <x:f>D112/F112*10000</x:f>
        <x:v>229.88273749258107</x:v>
      </x:c>
      <x:c r="H112" s="127" t="n">
        <x:f>1+COUNTIFS($C$4:$C$802,C112,$G$4:$G$802,"&gt;"&amp;G112)</x:f>
        <x:v>25</x:v>
      </x:c>
      <x:c r="I112" s="128" t="n">
        <x:f>D112/SUMIF($C$4:$C$802,C112,$D$4:$D$802)</x:f>
        <x:v>0.012907942882942378</x:v>
      </x:c>
      <x:c r="J112" s="103" t="n">
        <x:f>(D112/SUMIF($A$4:$A$802,A112,$D$4:$D$802))/(SUMIF($C$4:$C$802,C112,$D$4:$D$802)/SUM($D$4:$D$802))</x:f>
        <x:v>0.9322617423384193</x:v>
      </x:c>
    </x:row>
    <x:row r="113">
      <x:c r="A113" s="101" t="str">
        <x:v>福島県</x:v>
      </x:c>
      <x:c r="B113" s="101" t="str">
        <x:v>I</x:v>
      </x:c>
      <x:c r="C113" s="101" t="str">
        <x:v>卸売業，小売業</x:v>
      </x:c>
      <x:c r="D113" s="102" t="n">
        <x:v>154620</x:v>
      </x:c>
      <x:c r="E113" s="102" t="n">
        <x:f>1+COUNTIFS($C$4:$C$802,C113,$D$4:$D$802,"&gt;"&amp;D113)</x:f>
        <x:v>21</x:v>
      </x:c>
      <x:c r="F113" s="102" t="n">
        <x:v>1833152</x:v>
      </x:c>
      <x:c r="G113" s="126" t="n">
        <x:f>D113/F113*10000</x:f>
        <x:v>843.4652445623713</x:v>
      </x:c>
      <x:c r="H113" s="127" t="n">
        <x:f>1+COUNTIFS($C$4:$C$802,C113,$G$4:$G$802,"&gt;"&amp;G113)</x:f>
        <x:v>28</x:v>
      </x:c>
      <x:c r="I113" s="128" t="n">
        <x:f>D113/SUMIF($C$4:$C$802,C113,$D$4:$D$802)</x:f>
        <x:v>0.013315622802905014</x:v>
      </x:c>
      <x:c r="J113" s="103" t="n">
        <x:f>(D113/SUMIF($A$4:$A$802,A113,$D$4:$D$802))/(SUMIF($C$4:$C$802,C113,$D$4:$D$802)/SUM($D$4:$D$802))</x:f>
        <x:v>0.9617059687304497</x:v>
      </x:c>
    </x:row>
    <x:row r="114">
      <x:c r="A114" s="101" t="str">
        <x:v>福島県</x:v>
      </x:c>
      <x:c r="B114" s="101" t="str">
        <x:v>J</x:v>
      </x:c>
      <x:c r="C114" s="101" t="str">
        <x:v>金融業，保険業</x:v>
      </x:c>
      <x:c r="D114" s="102" t="n">
        <x:v>16591</x:v>
      </x:c>
      <x:c r="E114" s="102" t="n">
        <x:f>1+COUNTIFS($C$4:$C$802,C114,$D$4:$D$802,"&gt;"&amp;D114)</x:f>
        <x:v>22</x:v>
      </x:c>
      <x:c r="F114" s="102" t="n">
        <x:v>1833152</x:v>
      </x:c>
      <x:c r="G114" s="126" t="n">
        <x:f>D114/F114*10000</x:f>
        <x:v>90.50531543483572</x:v>
      </x:c>
      <x:c r="H114" s="127" t="n">
        <x:f>1+COUNTIFS($C$4:$C$802,C114,$G$4:$G$802,"&gt;"&amp;G114)</x:f>
        <x:v>35</x:v>
      </x:c>
      <x:c r="I114" s="128" t="n">
        <x:f>D114/SUMIF($C$4:$C$802,C114,$D$4:$D$802)</x:f>
        <x:v>0.011101847118243939</x:v>
      </x:c>
      <x:c r="J114" s="103" t="n">
        <x:f>(D114/SUMIF($A$4:$A$802,A114,$D$4:$D$802))/(SUMIF($C$4:$C$802,C114,$D$4:$D$802)/SUM($D$4:$D$802))</x:f>
        <x:v>0.8018184951303101</x:v>
      </x:c>
    </x:row>
    <x:row r="115">
      <x:c r="A115" s="101" t="str">
        <x:v>福島県</x:v>
      </x:c>
      <x:c r="B115" s="101" t="str">
        <x:v>K</x:v>
      </x:c>
      <x:c r="C115" s="101" t="str">
        <x:v>不動産業，物品賃貸業</x:v>
      </x:c>
      <x:c r="D115" s="102" t="n">
        <x:v>15686</x:v>
      </x:c>
      <x:c r="E115" s="102" t="n">
        <x:f>1+COUNTIFS($C$4:$C$802,C115,$D$4:$D$802,"&gt;"&amp;D115)</x:f>
        <x:v>22</x:v>
      </x:c>
      <x:c r="F115" s="102" t="n">
        <x:v>1833152</x:v>
      </x:c>
      <x:c r="G115" s="126" t="n">
        <x:f>D115/F115*10000</x:f>
        <x:v>85.56846349893517</x:v>
      </x:c>
      <x:c r="H115" s="127" t="n">
        <x:f>1+COUNTIFS($C$4:$C$802,C115,$G$4:$G$802,"&gt;"&amp;G115)</x:f>
        <x:v>26</x:v>
      </x:c>
      <x:c r="I115" s="128" t="n">
        <x:f>D115/SUMIF($C$4:$C$802,C115,$D$4:$D$802)</x:f>
        <x:v>0.009693858002222307</x:v>
      </x:c>
      <x:c r="J115" s="103" t="n">
        <x:f>(D115/SUMIF($A$4:$A$802,A115,$D$4:$D$802))/(SUMIF($C$4:$C$802,C115,$D$4:$D$802)/SUM($D$4:$D$802))</x:f>
        <x:v>0.7001280554994952</x:v>
      </x:c>
    </x:row>
    <x:row r="116">
      <x:c r="A116" s="101" t="str">
        <x:v>福島県</x:v>
      </x:c>
      <x:c r="B116" s="101" t="str">
        <x:v>L</x:v>
      </x:c>
      <x:c r="C116" s="101" t="str">
        <x:v>学術研究，専門・技術サービス業</x:v>
      </x:c>
      <x:c r="D116" s="102" t="n">
        <x:v>20239</x:v>
      </x:c>
      <x:c r="E116" s="102" t="n">
        <x:f>1+COUNTIFS($C$4:$C$802,C116,$D$4:$D$802,"&gt;"&amp;D116)</x:f>
        <x:v>20</x:v>
      </x:c>
      <x:c r="F116" s="102" t="n">
        <x:v>1833152</x:v>
      </x:c>
      <x:c r="G116" s="126" t="n">
        <x:f>D116/F116*10000</x:f>
        <x:v>110.40546555877526</x:v>
      </x:c>
      <x:c r="H116" s="127" t="n">
        <x:f>1+COUNTIFS($C$4:$C$802,C116,$G$4:$G$802,"&gt;"&amp;G116)</x:f>
        <x:v>21</x:v>
      </x:c>
      <x:c r="I116" s="128" t="n">
        <x:f>D116/SUMIF($C$4:$C$802,C116,$D$4:$D$802)</x:f>
        <x:v>0.00955156400430408</x:v>
      </x:c>
      <x:c r="J116" s="103" t="n">
        <x:f>(D116/SUMIF($A$4:$A$802,A116,$D$4:$D$802))/(SUMIF($C$4:$C$802,C116,$D$4:$D$802)/SUM($D$4:$D$802))</x:f>
        <x:v>0.6898510305988933</x:v>
      </x:c>
    </x:row>
    <x:row r="117">
      <x:c r="A117" s="101" t="str">
        <x:v>福島県</x:v>
      </x:c>
      <x:c r="B117" s="101" t="str">
        <x:v>M</x:v>
      </x:c>
      <x:c r="C117" s="101" t="str">
        <x:v>宿泊業，飲食サービス業</x:v>
      </x:c>
      <x:c r="D117" s="102" t="n">
        <x:v>60435</x:v>
      </x:c>
      <x:c r="E117" s="102" t="n">
        <x:f>1+COUNTIFS($C$4:$C$802,C117,$D$4:$D$802,"&gt;"&amp;D117)</x:f>
        <x:v>22</x:v>
      </x:c>
      <x:c r="F117" s="102" t="n">
        <x:v>1833152</x:v>
      </x:c>
      <x:c r="G117" s="126" t="n">
        <x:f>D117/F117*10000</x:f>
        <x:v>329.67806270292914</x:v>
      </x:c>
      <x:c r="H117" s="127" t="n">
        <x:f>1+COUNTIFS($C$4:$C$802,C117,$G$4:$G$802,"&gt;"&amp;G117)</x:f>
        <x:v>32</x:v>
      </x:c>
      <x:c r="I117" s="128" t="n">
        <x:f>D117/SUMIF($C$4:$C$802,C117,$D$4:$D$802)</x:f>
        <x:v>0.012916941936705595</x:v>
      </x:c>
      <x:c r="J117" s="103" t="n">
        <x:f>(D117/SUMIF($A$4:$A$802,A117,$D$4:$D$802))/(SUMIF($C$4:$C$802,C117,$D$4:$D$802)/SUM($D$4:$D$802))</x:f>
        <x:v>0.9329116889346178</x:v>
      </x:c>
    </x:row>
    <x:row r="118">
      <x:c r="A118" s="101" t="str">
        <x:v>福島県</x:v>
      </x:c>
      <x:c r="B118" s="101" t="str">
        <x:v>N</x:v>
      </x:c>
      <x:c r="C118" s="101" t="str">
        <x:v>生活関連サービス業，娯楽業</x:v>
      </x:c>
      <x:c r="D118" s="102" t="n">
        <x:v>29887</x:v>
      </x:c>
      <x:c r="E118" s="102" t="n">
        <x:f>1+COUNTIFS($C$4:$C$802,C118,$D$4:$D$802,"&gt;"&amp;D118)</x:f>
        <x:v>21</x:v>
      </x:c>
      <x:c r="F118" s="102" t="n">
        <x:v>1833152</x:v>
      </x:c>
      <x:c r="G118" s="126" t="n">
        <x:f>D118/F118*10000</x:f>
        <x:v>163.03612575498377</x:v>
      </x:c>
      <x:c r="H118" s="127" t="n">
        <x:f>1+COUNTIFS($C$4:$C$802,C118,$G$4:$G$802,"&gt;"&amp;G118)</x:f>
        <x:v>30</x:v>
      </x:c>
      <x:c r="I118" s="128" t="n">
        <x:f>D118/SUMIF($C$4:$C$802,C118,$D$4:$D$802)</x:f>
        <x:v>0.01373395725181158</x:v>
      </x:c>
      <x:c r="J118" s="103" t="n">
        <x:f>(D118/SUMIF($A$4:$A$802,A118,$D$4:$D$802))/(SUMIF($C$4:$C$802,C118,$D$4:$D$802)/SUM($D$4:$D$802))</x:f>
        <x:v>0.9919197065626175</x:v>
      </x:c>
    </x:row>
    <x:row r="119">
      <x:c r="A119" s="101" t="str">
        <x:v>福島県</x:v>
      </x:c>
      <x:c r="B119" s="101" t="str">
        <x:v>O</x:v>
      </x:c>
      <x:c r="C119" s="101" t="str">
        <x:v>教育，学習支援業</x:v>
      </x:c>
      <x:c r="D119" s="102" t="n">
        <x:v>18157</x:v>
      </x:c>
      <x:c r="E119" s="102" t="n">
        <x:f>1+COUNTIFS($C$4:$C$802,C119,$D$4:$D$802,"&gt;"&amp;D119)</x:f>
        <x:v>27</x:v>
      </x:c>
      <x:c r="F119" s="102" t="n">
        <x:v>1833152</x:v>
      </x:c>
      <x:c r="G119" s="126" t="n">
        <x:f>D119/F119*10000</x:f>
        <x:v>99.04797856369794</x:v>
      </x:c>
      <x:c r="H119" s="127" t="n">
        <x:f>1+COUNTIFS($C$4:$C$802,C119,$G$4:$G$802,"&gt;"&amp;G119)</x:f>
        <x:v>46</x:v>
      </x:c>
      <x:c r="I119" s="128" t="n">
        <x:f>D119/SUMIF($C$4:$C$802,C119,$D$4:$D$802)</x:f>
        <x:v>0.00930777850798725</x:v>
      </x:c>
      <x:c r="J119" s="103" t="n">
        <x:f>(D119/SUMIF($A$4:$A$802,A119,$D$4:$D$802))/(SUMIF($C$4:$C$802,C119,$D$4:$D$802)/SUM($D$4:$D$802))</x:f>
        <x:v>0.6722438957041844</x:v>
      </x:c>
    </x:row>
    <x:row r="120">
      <x:c r="A120" s="101" t="str">
        <x:v>福島県</x:v>
      </x:c>
      <x:c r="B120" s="101" t="str">
        <x:v>P</x:v>
      </x:c>
      <x:c r="C120" s="101" t="str">
        <x:v>医療，福祉</x:v>
      </x:c>
      <x:c r="D120" s="102" t="n">
        <x:v>108365</x:v>
      </x:c>
      <x:c r="E120" s="102" t="n">
        <x:f>1+COUNTIFS($C$4:$C$802,C120,$D$4:$D$802,"&gt;"&amp;D120)</x:f>
        <x:v>25</x:v>
      </x:c>
      <x:c r="F120" s="102" t="n">
        <x:v>1833152</x:v>
      </x:c>
      <x:c r="G120" s="126" t="n">
        <x:f>D120/F120*10000</x:f>
        <x:v>591.1402873302377</x:v>
      </x:c>
      <x:c r="H120" s="127" t="n">
        <x:f>1+COUNTIFS($C$4:$C$802,C120,$G$4:$G$802,"&gt;"&amp;G120)</x:f>
        <x:v>38</x:v>
      </x:c>
      <x:c r="I120" s="128" t="n">
        <x:f>D120/SUMIF($C$4:$C$802,C120,$D$4:$D$802)</x:f>
        <x:v>0.01327612302169044</x:v>
      </x:c>
      <x:c r="J120" s="103" t="n">
        <x:f>(D120/SUMIF($A$4:$A$802,A120,$D$4:$D$802))/(SUMIF($C$4:$C$802,C120,$D$4:$D$802)/SUM($D$4:$D$802))</x:f>
        <x:v>0.9588531411969666</x:v>
      </x:c>
    </x:row>
    <x:row r="121">
      <x:c r="A121" s="101" t="str">
        <x:v>福島県</x:v>
      </x:c>
      <x:c r="B121" s="101" t="str">
        <x:v>Q</x:v>
      </x:c>
      <x:c r="C121" s="101" t="str">
        <x:v>複合サービス事業</x:v>
      </x:c>
      <x:c r="D121" s="102" t="n">
        <x:v>8201</x:v>
      </x:c>
      <x:c r="E121" s="102" t="n">
        <x:f>1+COUNTIFS($C$4:$C$802,C121,$D$4:$D$802,"&gt;"&amp;D121)</x:f>
        <x:v>18</x:v>
      </x:c>
      <x:c r="F121" s="102" t="n">
        <x:v>1833152</x:v>
      </x:c>
      <x:c r="G121" s="126" t="n">
        <x:f>D121/F121*10000</x:f>
        <x:v>44.73715218377963</x:v>
      </x:c>
      <x:c r="H121" s="127" t="n">
        <x:f>1+COUNTIFS($C$4:$C$802,C121,$G$4:$G$802,"&gt;"&amp;G121)</x:f>
        <x:v>20</x:v>
      </x:c>
      <x:c r="I121" s="128" t="n">
        <x:f>D121/SUMIF($C$4:$C$802,C121,$D$4:$D$802)</x:f>
        <x:v>0.018810927357386976</x:v>
      </x:c>
      <x:c r="J121" s="103" t="n">
        <x:f>(D121/SUMIF($A$4:$A$802,A121,$D$4:$D$802))/(SUMIF($C$4:$C$802,C121,$D$4:$D$802)/SUM($D$4:$D$802))</x:f>
        <x:v>1.3585981958731375</x:v>
      </x:c>
    </x:row>
    <x:row r="122">
      <x:c r="A122" s="101" t="str">
        <x:v>福島県</x:v>
      </x:c>
      <x:c r="B122" s="101" t="str">
        <x:v>R</x:v>
      </x:c>
      <x:c r="C122" s="101" t="str">
        <x:v>サービス業（他に分類されないもの）</x:v>
      </x:c>
      <x:c r="D122" s="102" t="n">
        <x:v>64228</x:v>
      </x:c>
      <x:c r="E122" s="102" t="n">
        <x:f>1+COUNTIFS($C$4:$C$802,C122,$D$4:$D$802,"&gt;"&amp;D122)</x:f>
        <x:v>19</x:v>
      </x:c>
      <x:c r="F122" s="102" t="n">
        <x:v>1833152</x:v>
      </x:c>
      <x:c r="G122" s="126" t="n">
        <x:f>D122/F122*10000</x:f>
        <x:v>350.36920015361517</x:v>
      </x:c>
      <x:c r="H122" s="127" t="n">
        <x:f>1+COUNTIFS($C$4:$C$802,C122,$G$4:$G$802,"&gt;"&amp;G122)</x:f>
        <x:v>17</x:v>
      </x:c>
      <x:c r="I122" s="128" t="n">
        <x:f>D122/SUMIF($C$4:$C$802,C122,$D$4:$D$802)</x:f>
        <x:v>0.01227051296085827</x:v>
      </x:c>
      <x:c r="J122" s="103" t="n">
        <x:f>(D122/SUMIF($A$4:$A$802,A122,$D$4:$D$802))/(SUMIF($C$4:$C$802,C122,$D$4:$D$802)/SUM($D$4:$D$802))</x:f>
        <x:v>0.8862240789268414</x:v>
      </x:c>
    </x:row>
    <x:row r="123">
      <x:c r="A123" s="101" t="str">
        <x:v>茨城県</x:v>
      </x:c>
      <x:c r="B123" s="101" t="str">
        <x:v>AB</x:v>
      </x:c>
      <x:c r="C123" s="101" t="str">
        <x:v>農林漁業</x:v>
      </x:c>
      <x:c r="D123" s="102" t="n">
        <x:v>13097</x:v>
      </x:c>
      <x:c r="E123" s="102" t="n">
        <x:f>1+COUNTIFS($C$4:$C$802,C123,$D$4:$D$802,"&gt;"&amp;D123)</x:f>
        <x:v>8</x:v>
      </x:c>
      <x:c r="F123" s="102" t="n">
        <x:v>2867009</x:v>
      </x:c>
      <x:c r="G123" s="126" t="n">
        <x:f>D123/F123*10000</x:f>
        <x:v>45.6817540509988</x:v>
      </x:c>
      <x:c r="H123" s="127" t="n">
        <x:f>1+COUNTIFS($C$4:$C$802,C123,$G$4:$G$802,"&gt;"&amp;G123)</x:f>
        <x:v>31</x:v>
      </x:c>
      <x:c r="I123" s="128" t="n">
        <x:f>D123/SUMIF($C$4:$C$802,C123,$D$4:$D$802)</x:f>
        <x:v>0.028866901916011135</x:v>
      </x:c>
      <x:c r="J123" s="103" t="n">
        <x:f>(D123/SUMIF($A$4:$A$802,A123,$D$4:$D$802))/(SUMIF($C$4:$C$802,C123,$D$4:$D$802)/SUM($D$4:$D$802))</x:f>
        <x:v>1.3522181743379555</x:v>
      </x:c>
    </x:row>
    <x:row r="124">
      <x:c r="A124" s="101" t="str">
        <x:v>茨城県</x:v>
      </x:c>
      <x:c r="B124" s="101" t="str">
        <x:v>C</x:v>
      </x:c>
      <x:c r="C124" s="101" t="str">
        <x:v>鉱業，採石業，砂利採取業</x:v>
      </x:c>
      <x:c r="D124" s="102" t="n">
        <x:v>406</x:v>
      </x:c>
      <x:c r="E124" s="102" t="n">
        <x:f>1+COUNTIFS($C$4:$C$802,C124,$D$4:$D$802,"&gt;"&amp;D124)</x:f>
        <x:v>22</x:v>
      </x:c>
      <x:c r="F124" s="102" t="n">
        <x:v>2867009</x:v>
      </x:c>
      <x:c r="G124" s="126" t="n">
        <x:f>D124/F124*10000</x:f>
        <x:v>1.4161099598919988</x:v>
      </x:c>
      <x:c r="H124" s="127" t="n">
        <x:f>1+COUNTIFS($C$4:$C$802,C124,$G$4:$G$802,"&gt;"&amp;G124)</x:f>
        <x:v>27</x:v>
      </x:c>
      <x:c r="I124" s="128" t="n">
        <x:f>D124/SUMIF($C$4:$C$802,C124,$D$4:$D$802)</x:f>
        <x:v>0.020612275981113874</x:v>
      </x:c>
      <x:c r="J124" s="103" t="n">
        <x:f>(D124/SUMIF($A$4:$A$802,A124,$D$4:$D$802))/(SUMIF($C$4:$C$802,C124,$D$4:$D$802)/SUM($D$4:$D$802))</x:f>
        <x:v>0.965545048000888</x:v>
      </x:c>
    </x:row>
    <x:row r="125">
      <x:c r="A125" s="101" t="str">
        <x:v>茨城県</x:v>
      </x:c>
      <x:c r="B125" s="101" t="str">
        <x:v>D</x:v>
      </x:c>
      <x:c r="C125" s="101" t="str">
        <x:v>建設業</x:v>
      </x:c>
      <x:c r="D125" s="102" t="n">
        <x:v>84040</x:v>
      </x:c>
      <x:c r="E125" s="102" t="n">
        <x:f>1+COUNTIFS($C$4:$C$802,C125,$D$4:$D$802,"&gt;"&amp;D125)</x:f>
        <x:v>14</x:v>
      </x:c>
      <x:c r="F125" s="102" t="n">
        <x:v>2867009</x:v>
      </x:c>
      <x:c r="G125" s="126" t="n">
        <x:f>D125/F125*10000</x:f>
        <x:v>293.1277857865113</x:v>
      </x:c>
      <x:c r="H125" s="127" t="n">
        <x:f>1+COUNTIFS($C$4:$C$802,C125,$G$4:$G$802,"&gt;"&amp;G125)</x:f>
        <x:v>32</x:v>
      </x:c>
      <x:c r="I125" s="128" t="n">
        <x:f>D125/SUMIF($C$4:$C$802,C125,$D$4:$D$802)</x:f>
        <x:v>0.022486130119347195</x:v>
      </x:c>
      <x:c r="J125" s="103" t="n">
        <x:f>(D125/SUMIF($A$4:$A$802,A125,$D$4:$D$802))/(SUMIF($C$4:$C$802,C125,$D$4:$D$802)/SUM($D$4:$D$802))</x:f>
        <x:v>1.0533223796019653</x:v>
      </x:c>
    </x:row>
    <x:row r="126">
      <x:c r="A126" s="101" t="str">
        <x:v>茨城県</x:v>
      </x:c>
      <x:c r="B126" s="101" t="str">
        <x:v>E</x:v>
      </x:c>
      <x:c r="C126" s="101" t="str">
        <x:v>製造業</x:v>
      </x:c>
      <x:c r="D126" s="102" t="n">
        <x:v>279017</x:v>
      </x:c>
      <x:c r="E126" s="102" t="n">
        <x:f>1+COUNTIFS($C$4:$C$802,C126,$D$4:$D$802,"&gt;"&amp;D126)</x:f>
        <x:v>8</x:v>
      </x:c>
      <x:c r="F126" s="102" t="n">
        <x:v>2867009</x:v>
      </x:c>
      <x:c r="G126" s="126" t="n">
        <x:f>D126/F126*10000</x:f>
        <x:v>973.1988982245958</x:v>
      </x:c>
      <x:c r="H126" s="127" t="n">
        <x:f>1+COUNTIFS($C$4:$C$802,C126,$G$4:$G$802,"&gt;"&amp;G126)</x:f>
        <x:v>11</x:v>
      </x:c>
      <x:c r="I126" s="128" t="n">
        <x:f>D126/SUMIF($C$4:$C$802,C126,$D$4:$D$802)</x:f>
        <x:v>0.03169335694325633</x:v>
      </x:c>
      <x:c r="J126" s="103" t="n">
        <x:f>(D126/SUMIF($A$4:$A$802,A126,$D$4:$D$802))/(SUMIF($C$4:$C$802,C126,$D$4:$D$802)/SUM($D$4:$D$802))</x:f>
        <x:v>1.4846183836818603</x:v>
      </x:c>
    </x:row>
    <x:row r="127">
      <x:c r="A127" s="101" t="str">
        <x:v>茨城県</x:v>
      </x:c>
      <x:c r="B127" s="101" t="str">
        <x:v>F</x:v>
      </x:c>
      <x:c r="C127" s="101" t="str">
        <x:v>電気・ガス・熱供給・水道業</x:v>
      </x:c>
      <x:c r="D127" s="102" t="n">
        <x:v>4059</x:v>
      </x:c>
      <x:c r="E127" s="102" t="n">
        <x:f>1+COUNTIFS($C$4:$C$802,C127,$D$4:$D$802,"&gt;"&amp;D127)</x:f>
        <x:v>14</x:v>
      </x:c>
      <x:c r="F127" s="102" t="n">
        <x:v>2867009</x:v>
      </x:c>
      <x:c r="G127" s="126" t="n">
        <x:f>D127/F127*10000</x:f>
        <x:v>14.157611643353754</x:v>
      </x:c>
      <x:c r="H127" s="127" t="n">
        <x:f>1+COUNTIFS($C$4:$C$802,C127,$G$4:$G$802,"&gt;"&amp;G127)</x:f>
        <x:v>27</x:v>
      </x:c>
      <x:c r="I127" s="128" t="n">
        <x:f>D127/SUMIF($C$4:$C$802,C127,$D$4:$D$802)</x:f>
        <x:v>0.02007924847513468</x:v>
      </x:c>
      <x:c r="J127" s="103" t="n">
        <x:f>(D127/SUMIF($A$4:$A$802,A127,$D$4:$D$802))/(SUMIF($C$4:$C$802,C127,$D$4:$D$802)/SUM($D$4:$D$802))</x:f>
        <x:v>0.9405763318184519</x:v>
      </x:c>
    </x:row>
    <x:row r="128">
      <x:c r="A128" s="101" t="str">
        <x:v>茨城県</x:v>
      </x:c>
      <x:c r="B128" s="101" t="str">
        <x:v>G</x:v>
      </x:c>
      <x:c r="C128" s="101" t="str">
        <x:v>情報通信業</x:v>
      </x:c>
      <x:c r="D128" s="102" t="n">
        <x:v>19466</x:v>
      </x:c>
      <x:c r="E128" s="102" t="n">
        <x:f>1+COUNTIFS($C$4:$C$802,C128,$D$4:$D$802,"&gt;"&amp;D128)</x:f>
        <x:v>13</x:v>
      </x:c>
      <x:c r="F128" s="102" t="n">
        <x:v>2867009</x:v>
      </x:c>
      <x:c r="G128" s="126" t="n">
        <x:f>D128/F128*10000</x:f>
        <x:v>67.89654305235875</x:v>
      </x:c>
      <x:c r="H128" s="127" t="n">
        <x:f>1+COUNTIFS($C$4:$C$802,C128,$G$4:$G$802,"&gt;"&amp;G128)</x:f>
        <x:v>13</x:v>
      </x:c>
      <x:c r="I128" s="128" t="n">
        <x:f>D128/SUMIF($C$4:$C$802,C128,$D$4:$D$802)</x:f>
        <x:v>0.009797472266248046</x:v>
      </x:c>
      <x:c r="J128" s="103" t="n">
        <x:f>(D128/SUMIF($A$4:$A$802,A128,$D$4:$D$802))/(SUMIF($C$4:$C$802,C128,$D$4:$D$802)/SUM($D$4:$D$802))</x:f>
        <x:v>0.45894499172578185</x:v>
      </x:c>
    </x:row>
    <x:row r="129">
      <x:c r="A129" s="101" t="str">
        <x:v>茨城県</x:v>
      </x:c>
      <x:c r="B129" s="101" t="str">
        <x:v>H</x:v>
      </x:c>
      <x:c r="C129" s="101" t="str">
        <x:v>運輸業，郵便業</x:v>
      </x:c>
      <x:c r="D129" s="102" t="n">
        <x:v>76241</x:v>
      </x:c>
      <x:c r="E129" s="102" t="n">
        <x:f>1+COUNTIFS($C$4:$C$802,C129,$D$4:$D$802,"&gt;"&amp;D129)</x:f>
        <x:v>11</x:v>
      </x:c>
      <x:c r="F129" s="102" t="n">
        <x:v>2867009</x:v>
      </x:c>
      <x:c r="G129" s="126" t="n">
        <x:f>D129/F129*10000</x:f>
        <x:v>265.9252203254332</x:v>
      </x:c>
      <x:c r="H129" s="127" t="n">
        <x:f>1+COUNTIFS($C$4:$C$802,C129,$G$4:$G$802,"&gt;"&amp;G129)</x:f>
        <x:v>11</x:v>
      </x:c>
      <x:c r="I129" s="128" t="n">
        <x:f>D129/SUMIF($C$4:$C$802,C129,$D$4:$D$802)</x:f>
        <x:v>0.023352897969635505</x:v>
      </x:c>
      <x:c r="J129" s="103" t="n">
        <x:f>(D129/SUMIF($A$4:$A$802,A129,$D$4:$D$802))/(SUMIF($C$4:$C$802,C129,$D$4:$D$802)/SUM($D$4:$D$802))</x:f>
        <x:v>1.0939245628047845</x:v>
      </x:c>
    </x:row>
    <x:row r="130">
      <x:c r="A130" s="101" t="str">
        <x:v>茨城県</x:v>
      </x:c>
      <x:c r="B130" s="101" t="str">
        <x:v>I</x:v>
      </x:c>
      <x:c r="C130" s="101" t="str">
        <x:v>卸売業，小売業</x:v>
      </x:c>
      <x:c r="D130" s="102" t="n">
        <x:v>225563</x:v>
      </x:c>
      <x:c r="E130" s="102" t="n">
        <x:f>1+COUNTIFS($C$4:$C$802,C130,$D$4:$D$802,"&gt;"&amp;D130)</x:f>
        <x:v>13</x:v>
      </x:c>
      <x:c r="F130" s="102" t="n">
        <x:v>2867009</x:v>
      </x:c>
      <x:c r="G130" s="126" t="n">
        <x:f>D130/F130*10000</x:f>
        <x:v>786.7537213869925</x:v>
      </x:c>
      <x:c r="H130" s="127" t="n">
        <x:f>1+COUNTIFS($C$4:$C$802,C130,$G$4:$G$802,"&gt;"&amp;G130)</x:f>
        <x:v>42</x:v>
      </x:c>
      <x:c r="I130" s="128" t="n">
        <x:f>D130/SUMIF($C$4:$C$802,C130,$D$4:$D$802)</x:f>
        <x:v>0.01942511852471649</x:v>
      </x:c>
      <x:c r="J130" s="103" t="n">
        <x:f>(D130/SUMIF($A$4:$A$802,A130,$D$4:$D$802))/(SUMIF($C$4:$C$802,C130,$D$4:$D$802)/SUM($D$4:$D$802))</x:f>
        <x:v>0.9099347891302962</x:v>
      </x:c>
    </x:row>
    <x:row r="131">
      <x:c r="A131" s="101" t="str">
        <x:v>茨城県</x:v>
      </x:c>
      <x:c r="B131" s="101" t="str">
        <x:v>J</x:v>
      </x:c>
      <x:c r="C131" s="101" t="str">
        <x:v>金融業，保険業</x:v>
      </x:c>
      <x:c r="D131" s="102" t="n">
        <x:v>23032</x:v>
      </x:c>
      <x:c r="E131" s="102" t="n">
        <x:f>1+COUNTIFS($C$4:$C$802,C131,$D$4:$D$802,"&gt;"&amp;D131)</x:f>
        <x:v>14</x:v>
      </x:c>
      <x:c r="F131" s="102" t="n">
        <x:v>2867009</x:v>
      </x:c>
      <x:c r="G131" s="126" t="n">
        <x:f>D131/F131*10000</x:f>
        <x:v>80.33459260155793</x:v>
      </x:c>
      <x:c r="H131" s="127" t="n">
        <x:f>1+COUNTIFS($C$4:$C$802,C131,$G$4:$G$802,"&gt;"&amp;G131)</x:f>
        <x:v>43</x:v>
      </x:c>
      <x:c r="I131" s="128" t="n">
        <x:f>D131/SUMIF($C$4:$C$802,C131,$D$4:$D$802)</x:f>
        <x:v>0.01541183429735365</x:v>
      </x:c>
      <x:c r="J131" s="103" t="n">
        <x:f>(D131/SUMIF($A$4:$A$802,A131,$D$4:$D$802))/(SUMIF($C$4:$C$802,C131,$D$4:$D$802)/SUM($D$4:$D$802))</x:f>
        <x:v>0.721939697491665</x:v>
      </x:c>
    </x:row>
    <x:row r="132">
      <x:c r="A132" s="101" t="str">
        <x:v>茨城県</x:v>
      </x:c>
      <x:c r="B132" s="101" t="str">
        <x:v>K</x:v>
      </x:c>
      <x:c r="C132" s="101" t="str">
        <x:v>不動産業，物品賃貸業</x:v>
      </x:c>
      <x:c r="D132" s="102" t="n">
        <x:v>20664</x:v>
      </x:c>
      <x:c r="E132" s="102" t="n">
        <x:f>1+COUNTIFS($C$4:$C$802,C132,$D$4:$D$802,"&gt;"&amp;D132)</x:f>
        <x:v>14</x:v>
      </x:c>
      <x:c r="F132" s="102" t="n">
        <x:v>2867009</x:v>
      </x:c>
      <x:c r="G132" s="126" t="n">
        <x:f>D132/F132*10000</x:f>
        <x:v>72.07511382071002</x:v>
      </x:c>
      <x:c r="H132" s="127" t="n">
        <x:f>1+COUNTIFS($C$4:$C$802,C132,$G$4:$G$802,"&gt;"&amp;G132)</x:f>
        <x:v>44</x:v>
      </x:c>
      <x:c r="I132" s="128" t="n">
        <x:f>D132/SUMIF($C$4:$C$802,C132,$D$4:$D$802)</x:f>
        <x:v>0.012770233441152733</x:v>
      </x:c>
      <x:c r="J132" s="103" t="n">
        <x:f>(D132/SUMIF($A$4:$A$802,A132,$D$4:$D$802))/(SUMIF($C$4:$C$802,C132,$D$4:$D$802)/SUM($D$4:$D$802))</x:f>
        <x:v>0.5981986497860796</x:v>
      </x:c>
    </x:row>
    <x:row r="133">
      <x:c r="A133" s="101" t="str">
        <x:v>茨城県</x:v>
      </x:c>
      <x:c r="B133" s="101" t="str">
        <x:v>L</x:v>
      </x:c>
      <x:c r="C133" s="101" t="str">
        <x:v>学術研究，専門・技術サービス業</x:v>
      </x:c>
      <x:c r="D133" s="102" t="n">
        <x:v>62193</x:v>
      </x:c>
      <x:c r="E133" s="102" t="n">
        <x:f>1+COUNTIFS($C$4:$C$802,C133,$D$4:$D$802,"&gt;"&amp;D133)</x:f>
        <x:v>8</x:v>
      </x:c>
      <x:c r="F133" s="102" t="n">
        <x:v>2867009</x:v>
      </x:c>
      <x:c r="G133" s="126" t="n">
        <x:f>D133/F133*10000</x:f>
        <x:v>216.92642053094357</x:v>
      </x:c>
      <x:c r="H133" s="127" t="n">
        <x:f>1+COUNTIFS($C$4:$C$802,C133,$G$4:$G$802,"&gt;"&amp;G133)</x:f>
        <x:v>2</x:v>
      </x:c>
      <x:c r="I133" s="128" t="n">
        <x:f>D133/SUMIF($C$4:$C$802,C133,$D$4:$D$802)</x:f>
        <x:v>0.02935127329016669</x:v>
      </x:c>
      <x:c r="J133" s="103" t="n">
        <x:f>(D133/SUMIF($A$4:$A$802,A133,$D$4:$D$802))/(SUMIF($C$4:$C$802,C133,$D$4:$D$802)/SUM($D$4:$D$802))</x:f>
        <x:v>1.3749076814131471</x:v>
      </x:c>
    </x:row>
    <x:row r="134">
      <x:c r="A134" s="101" t="str">
        <x:v>茨城県</x:v>
      </x:c>
      <x:c r="B134" s="101" t="str">
        <x:v>M</x:v>
      </x:c>
      <x:c r="C134" s="101" t="str">
        <x:v>宿泊業，飲食サービス業</x:v>
      </x:c>
      <x:c r="D134" s="102" t="n">
        <x:v>81979</x:v>
      </x:c>
      <x:c r="E134" s="102" t="n">
        <x:f>1+COUNTIFS($C$4:$C$802,C134,$D$4:$D$802,"&gt;"&amp;D134)</x:f>
        <x:v>14</x:v>
      </x:c>
      <x:c r="F134" s="102" t="n">
        <x:v>2867009</x:v>
      </x:c>
      <x:c r="G134" s="126" t="n">
        <x:f>D134/F134*10000</x:f>
        <x:v>285.939109364498</x:v>
      </x:c>
      <x:c r="H134" s="127" t="n">
        <x:f>1+COUNTIFS($C$4:$C$802,C134,$G$4:$G$802,"&gt;"&amp;G134)</x:f>
        <x:v>46</x:v>
      </x:c>
      <x:c r="I134" s="128" t="n">
        <x:f>D134/SUMIF($C$4:$C$802,C134,$D$4:$D$802)</x:f>
        <x:v>0.017521601440046133</x:v>
      </x:c>
      <x:c r="J134" s="103" t="n">
        <x:f>(D134/SUMIF($A$4:$A$802,A134,$D$4:$D$802))/(SUMIF($C$4:$C$802,C134,$D$4:$D$802)/SUM($D$4:$D$802))</x:f>
        <x:v>0.8207679500790159</x:v>
      </x:c>
    </x:row>
    <x:row r="135">
      <x:c r="A135" s="101" t="str">
        <x:v>茨城県</x:v>
      </x:c>
      <x:c r="B135" s="101" t="str">
        <x:v>N</x:v>
      </x:c>
      <x:c r="C135" s="101" t="str">
        <x:v>生活関連サービス業，娯楽業</x:v>
      </x:c>
      <x:c r="D135" s="102" t="n">
        <x:v>50919</x:v>
      </x:c>
      <x:c r="E135" s="102" t="n">
        <x:f>1+COUNTIFS($C$4:$C$802,C135,$D$4:$D$802,"&gt;"&amp;D135)</x:f>
        <x:v>11</x:v>
      </x:c>
      <x:c r="F135" s="102" t="n">
        <x:v>2867009</x:v>
      </x:c>
      <x:c r="G135" s="126" t="n">
        <x:f>D135/F135*10000</x:f>
        <x:v>177.60320947719381</x:v>
      </x:c>
      <x:c r="H135" s="127" t="n">
        <x:f>1+COUNTIFS($C$4:$C$802,C135,$G$4:$G$802,"&gt;"&amp;G135)</x:f>
        <x:v>7</x:v>
      </x:c>
      <x:c r="I135" s="128" t="n">
        <x:f>D135/SUMIF($C$4:$C$802,C135,$D$4:$D$802)</x:f>
        <x:v>0.02339878105212948</x:v>
      </x:c>
      <x:c r="J135" s="103" t="n">
        <x:f>(D135/SUMIF($A$4:$A$802,A135,$D$4:$D$802))/(SUMIF($C$4:$C$802,C135,$D$4:$D$802)/SUM($D$4:$D$802))</x:f>
        <x:v>1.09607387339667</x:v>
      </x:c>
    </x:row>
    <x:row r="136">
      <x:c r="A136" s="101" t="str">
        <x:v>茨城県</x:v>
      </x:c>
      <x:c r="B136" s="101" t="str">
        <x:v>O</x:v>
      </x:c>
      <x:c r="C136" s="101" t="str">
        <x:v>教育，学習支援業</x:v>
      </x:c>
      <x:c r="D136" s="102" t="n">
        <x:v>33734</x:v>
      </x:c>
      <x:c r="E136" s="102" t="n">
        <x:f>1+COUNTIFS($C$4:$C$802,C136,$D$4:$D$802,"&gt;"&amp;D136)</x:f>
        <x:v>14</x:v>
      </x:c>
      <x:c r="F136" s="102" t="n">
        <x:v>2867009</x:v>
      </x:c>
      <x:c r="G136" s="126" t="n">
        <x:f>D136/F136*10000</x:f>
        <x:v>117.66269307142042</x:v>
      </x:c>
      <x:c r="H136" s="127" t="n">
        <x:f>1+COUNTIFS($C$4:$C$802,C136,$G$4:$G$802,"&gt;"&amp;G136)</x:f>
        <x:v>37</x:v>
      </x:c>
      <x:c r="I136" s="128" t="n">
        <x:f>D136/SUMIF($C$4:$C$802,C136,$D$4:$D$802)</x:f>
        <x:v>0.017292977925232246</x:v>
      </x:c>
      <x:c r="J136" s="103" t="n">
        <x:f>(D136/SUMIF($A$4:$A$802,A136,$D$4:$D$802))/(SUMIF($C$4:$C$802,C136,$D$4:$D$802)/SUM($D$4:$D$802))</x:f>
        <x:v>0.8100584921430088</x:v>
      </x:c>
    </x:row>
    <x:row r="137">
      <x:c r="A137" s="101" t="str">
        <x:v>茨城県</x:v>
      </x:c>
      <x:c r="B137" s="101" t="str">
        <x:v>P</x:v>
      </x:c>
      <x:c r="C137" s="101" t="str">
        <x:v>医療，福祉</x:v>
      </x:c>
      <x:c r="D137" s="102" t="n">
        <x:v>156690</x:v>
      </x:c>
      <x:c r="E137" s="102" t="n">
        <x:f>1+COUNTIFS($C$4:$C$802,C137,$D$4:$D$802,"&gt;"&amp;D137)</x:f>
        <x:v>13</x:v>
      </x:c>
      <x:c r="F137" s="102" t="n">
        <x:v>2867009</x:v>
      </x:c>
      <x:c r="G137" s="126" t="n">
        <x:f>D137/F137*10000</x:f>
        <x:v>546.5277576735895</x:v>
      </x:c>
      <x:c r="H137" s="127" t="n">
        <x:f>1+COUNTIFS($C$4:$C$802,C137,$G$4:$G$802,"&gt;"&amp;G137)</x:f>
        <x:v>45</x:v>
      </x:c>
      <x:c r="I137" s="128" t="n">
        <x:f>D137/SUMIF($C$4:$C$802,C137,$D$4:$D$802)</x:f>
        <x:v>0.019196564538999445</x:v>
      </x:c>
      <x:c r="J137" s="103" t="n">
        <x:f>(D137/SUMIF($A$4:$A$802,A137,$D$4:$D$802))/(SUMIF($C$4:$C$802,C137,$D$4:$D$802)/SUM($D$4:$D$802))</x:f>
        <x:v>0.8992285881599543</x:v>
      </x:c>
    </x:row>
    <x:row r="138">
      <x:c r="A138" s="101" t="str">
        <x:v>茨城県</x:v>
      </x:c>
      <x:c r="B138" s="101" t="str">
        <x:v>Q</x:v>
      </x:c>
      <x:c r="C138" s="101" t="str">
        <x:v>複合サービス事業</x:v>
      </x:c>
      <x:c r="D138" s="102" t="n">
        <x:v>9554</x:v>
      </x:c>
      <x:c r="E138" s="102" t="n">
        <x:f>1+COUNTIFS($C$4:$C$802,C138,$D$4:$D$802,"&gt;"&amp;D138)</x:f>
        <x:v>17</x:v>
      </x:c>
      <x:c r="F138" s="102" t="n">
        <x:v>2867009</x:v>
      </x:c>
      <x:c r="G138" s="126" t="n">
        <x:f>D138/F138*10000</x:f>
        <x:v>33.32392747982305</x:v>
      </x:c>
      <x:c r="H138" s="127" t="n">
        <x:f>1+COUNTIFS($C$4:$C$802,C138,$G$4:$G$802,"&gt;"&amp;G138)</x:f>
        <x:v>36</x:v>
      </x:c>
      <x:c r="I138" s="128" t="n">
        <x:f>D138/SUMIF($C$4:$C$802,C138,$D$4:$D$802)</x:f>
        <x:v>0.021914351904947588</x:v>
      </x:c>
      <x:c r="J138" s="103" t="n">
        <x:f>(D138/SUMIF($A$4:$A$802,A138,$D$4:$D$802))/(SUMIF($C$4:$C$802,C138,$D$4:$D$802)/SUM($D$4:$D$802))</x:f>
        <x:v>1.0265384560811386</x:v>
      </x:c>
    </x:row>
    <x:row r="139">
      <x:c r="A139" s="101" t="str">
        <x:v>茨城県</x:v>
      </x:c>
      <x:c r="B139" s="101" t="str">
        <x:v>R</x:v>
      </x:c>
      <x:c r="C139" s="101" t="str">
        <x:v>サービス業（他に分類されないもの）</x:v>
      </x:c>
      <x:c r="D139" s="102" t="n">
        <x:v>96450</x:v>
      </x:c>
      <x:c r="E139" s="102" t="n">
        <x:f>1+COUNTIFS($C$4:$C$802,C139,$D$4:$D$802,"&gt;"&amp;D139)</x:f>
        <x:v>13</x:v>
      </x:c>
      <x:c r="F139" s="102" t="n">
        <x:v>2867009</x:v>
      </x:c>
      <x:c r="G139" s="126" t="n">
        <x:f>D139/F139*10000</x:f>
        <x:v>336.4133143635056</x:v>
      </x:c>
      <x:c r="H139" s="127" t="n">
        <x:f>1+COUNTIFS($C$4:$C$802,C139,$G$4:$G$802,"&gt;"&amp;G139)</x:f>
        <x:v>26</x:v>
      </x:c>
      <x:c r="I139" s="128" t="n">
        <x:f>D139/SUMIF($C$4:$C$802,C139,$D$4:$D$802)</x:f>
        <x:v>0.01842640242689762</x:v>
      </x:c>
      <x:c r="J139" s="103" t="n">
        <x:f>(D139/SUMIF($A$4:$A$802,A139,$D$4:$D$802))/(SUMIF($C$4:$C$802,C139,$D$4:$D$802)/SUM($D$4:$D$802))</x:f>
        <x:v>0.8631517272553566</x:v>
      </x:c>
    </x:row>
    <x:row r="140">
      <x:c r="A140" s="101" t="str">
        <x:v>栃木県</x:v>
      </x:c>
      <x:c r="B140" s="101" t="str">
        <x:v>AB</x:v>
      </x:c>
      <x:c r="C140" s="101" t="str">
        <x:v>農林漁業</x:v>
      </x:c>
      <x:c r="D140" s="102" t="n">
        <x:v>8917</x:v>
      </x:c>
      <x:c r="E140" s="102" t="n">
        <x:f>1+COUNTIFS($C$4:$C$802,C140,$D$4:$D$802,"&gt;"&amp;D140)</x:f>
        <x:v>25</x:v>
      </x:c>
      <x:c r="F140" s="102" t="n">
        <x:v>1933146</x:v>
      </x:c>
      <x:c r="G140" s="126" t="n">
        <x:f>D140/F140*10000</x:f>
        <x:v>46.12688332903981</x:v>
      </x:c>
      <x:c r="H140" s="127" t="n">
        <x:f>1+COUNTIFS($C$4:$C$802,C140,$G$4:$G$802,"&gt;"&amp;G140)</x:f>
        <x:v>30</x:v>
      </x:c>
      <x:c r="I140" s="128" t="n">
        <x:f>D140/SUMIF($C$4:$C$802,C140,$D$4:$D$802)</x:f>
        <x:v>0.019653826401853196</x:v>
      </x:c>
      <x:c r="J140" s="103" t="n">
        <x:f>(D140/SUMIF($A$4:$A$802,A140,$D$4:$D$802))/(SUMIF($C$4:$C$802,C140,$D$4:$D$802)/SUM($D$4:$D$802))</x:f>
        <x:v>1.3078924201379947</x:v>
      </x:c>
    </x:row>
    <x:row r="141">
      <x:c r="A141" s="101" t="str">
        <x:v>栃木県</x:v>
      </x:c>
      <x:c r="B141" s="101" t="str">
        <x:v>C</x:v>
      </x:c>
      <x:c r="C141" s="101" t="str">
        <x:v>鉱業，採石業，砂利採取業</x:v>
      </x:c>
      <x:c r="D141" s="102" t="n">
        <x:v>452</x:v>
      </x:c>
      <x:c r="E141" s="102" t="n">
        <x:f>1+COUNTIFS($C$4:$C$802,C141,$D$4:$D$802,"&gt;"&amp;D141)</x:f>
        <x:v>14</x:v>
      </x:c>
      <x:c r="F141" s="102" t="n">
        <x:v>1933146</x:v>
      </x:c>
      <x:c r="G141" s="126" t="n">
        <x:f>D141/F141*10000</x:f>
        <x:v>2.3381575938909944</x:v>
      </x:c>
      <x:c r="H141" s="127" t="n">
        <x:f>1+COUNTIFS($C$4:$C$802,C141,$G$4:$G$802,"&gt;"&amp;G141)</x:f>
        <x:v>18</x:v>
      </x:c>
      <x:c r="I141" s="128" t="n">
        <x:f>D141/SUMIF($C$4:$C$802,C141,$D$4:$D$802)</x:f>
        <x:v>0.02294765700360461</x:v>
      </x:c>
      <x:c r="J141" s="103" t="n">
        <x:f>(D141/SUMIF($A$4:$A$802,A141,$D$4:$D$802))/(SUMIF($C$4:$C$802,C141,$D$4:$D$802)/SUM($D$4:$D$802))</x:f>
        <x:v>1.5270851609898748</x:v>
      </x:c>
    </x:row>
    <x:row r="142">
      <x:c r="A142" s="101" t="str">
        <x:v>栃木県</x:v>
      </x:c>
      <x:c r="B142" s="101" t="str">
        <x:v>D</x:v>
      </x:c>
      <x:c r="C142" s="101" t="str">
        <x:v>建設業</x:v>
      </x:c>
      <x:c r="D142" s="102" t="n">
        <x:v>54688</x:v>
      </x:c>
      <x:c r="E142" s="102" t="n">
        <x:f>1+COUNTIFS($C$4:$C$802,C142,$D$4:$D$802,"&gt;"&amp;D142)</x:f>
        <x:v>20</x:v>
      </x:c>
      <x:c r="F142" s="102" t="n">
        <x:v>1933146</x:v>
      </x:c>
      <x:c r="G142" s="126" t="n">
        <x:f>D142/F142*10000</x:f>
        <x:v>282.89637720068737</x:v>
      </x:c>
      <x:c r="H142" s="127" t="n">
        <x:f>1+COUNTIFS($C$4:$C$802,C142,$G$4:$G$802,"&gt;"&amp;G142)</x:f>
        <x:v>36</x:v>
      </x:c>
      <x:c r="I142" s="128" t="n">
        <x:f>D142/SUMIF($C$4:$C$802,C142,$D$4:$D$802)</x:f>
        <x:v>0.014632573583613273</x:v>
      </x:c>
      <x:c r="J142" s="103" t="n">
        <x:f>(D142/SUMIF($A$4:$A$802,A142,$D$4:$D$802))/(SUMIF($C$4:$C$802,C142,$D$4:$D$802)/SUM($D$4:$D$802))</x:f>
        <x:v>0.9737458592447277</x:v>
      </x:c>
    </x:row>
    <x:row r="143">
      <x:c r="A143" s="101" t="str">
        <x:v>栃木県</x:v>
      </x:c>
      <x:c r="B143" s="101" t="str">
        <x:v>E</x:v>
      </x:c>
      <x:c r="C143" s="101" t="str">
        <x:v>製造業</x:v>
      </x:c>
      <x:c r="D143" s="102" t="n">
        <x:v>211289</x:v>
      </x:c>
      <x:c r="E143" s="102" t="n">
        <x:f>1+COUNTIFS($C$4:$C$802,C143,$D$4:$D$802,"&gt;"&amp;D143)</x:f>
        <x:v>15</x:v>
      </x:c>
      <x:c r="F143" s="102" t="n">
        <x:v>1933146</x:v>
      </x:c>
      <x:c r="G143" s="126" t="n">
        <x:f>D143/F143*10000</x:f>
        <x:v>1092.9800439283945</x:v>
      </x:c>
      <x:c r="H143" s="127" t="n">
        <x:f>1+COUNTIFS($C$4:$C$802,C143,$G$4:$G$802,"&gt;"&amp;G143)</x:f>
        <x:v>8</x:v>
      </x:c>
      <x:c r="I143" s="128" t="n">
        <x:f>D143/SUMIF($C$4:$C$802,C143,$D$4:$D$802)</x:f>
        <x:v>0.024000178108085482</x:v>
      </x:c>
      <x:c r="J143" s="103" t="n">
        <x:f>(D143/SUMIF($A$4:$A$802,A143,$D$4:$D$802))/(SUMIF($C$4:$C$802,C143,$D$4:$D$802)/SUM($D$4:$D$802))</x:f>
        <x:v>1.5971267064090406</x:v>
      </x:c>
    </x:row>
    <x:row r="144">
      <x:c r="A144" s="101" t="str">
        <x:v>栃木県</x:v>
      </x:c>
      <x:c r="B144" s="101" t="str">
        <x:v>F</x:v>
      </x:c>
      <x:c r="C144" s="101" t="str">
        <x:v>電気・ガス・熱供給・水道業</x:v>
      </x:c>
      <x:c r="D144" s="102" t="n">
        <x:v>2020</x:v>
      </x:c>
      <x:c r="E144" s="102" t="n">
        <x:f>1+COUNTIFS($C$4:$C$802,C144,$D$4:$D$802,"&gt;"&amp;D144)</x:f>
        <x:v>26</x:v>
      </x:c>
      <x:c r="F144" s="102" t="n">
        <x:v>1933146</x:v>
      </x:c>
      <x:c r="G144" s="126" t="n">
        <x:f>D144/F144*10000</x:f>
        <x:v>10.449288362079223</x:v>
      </x:c>
      <x:c r="H144" s="127" t="n">
        <x:f>1+COUNTIFS($C$4:$C$802,C144,$G$4:$G$802,"&gt;"&amp;G144)</x:f>
        <x:v>39</x:v>
      </x:c>
      <x:c r="I144" s="128" t="n">
        <x:f>D144/SUMIF($C$4:$C$802,C144,$D$4:$D$802)</x:f>
        <x:v>0.009992629199254015</x:v>
      </x:c>
      <x:c r="J144" s="103" t="n">
        <x:f>(D144/SUMIF($A$4:$A$802,A144,$D$4:$D$802))/(SUMIF($C$4:$C$802,C144,$D$4:$D$802)/SUM($D$4:$D$802))</x:f>
        <x:v>0.6649740218383938</x:v>
      </x:c>
    </x:row>
    <x:row r="145">
      <x:c r="A145" s="101" t="str">
        <x:v>栃木県</x:v>
      </x:c>
      <x:c r="B145" s="101" t="str">
        <x:v>G</x:v>
      </x:c>
      <x:c r="C145" s="101" t="str">
        <x:v>情報通信業</x:v>
      </x:c>
      <x:c r="D145" s="102" t="n">
        <x:v>7421</x:v>
      </x:c>
      <x:c r="E145" s="102" t="n">
        <x:f>1+COUNTIFS($C$4:$C$802,C145,$D$4:$D$802,"&gt;"&amp;D145)</x:f>
        <x:v>24</x:v>
      </x:c>
      <x:c r="F145" s="102" t="n">
        <x:v>1933146</x:v>
      </x:c>
      <x:c r="G145" s="126" t="n">
        <x:f>D145/F145*10000</x:f>
        <x:v>38.38820244306431</x:v>
      </x:c>
      <x:c r="H145" s="127" t="n">
        <x:f>1+COUNTIFS($C$4:$C$802,C145,$G$4:$G$802,"&gt;"&amp;G145)</x:f>
        <x:v>37</x:v>
      </x:c>
      <x:c r="I145" s="128" t="n">
        <x:f>D145/SUMIF($C$4:$C$802,C145,$D$4:$D$802)</x:f>
        <x:v>0.0037350786852885414</x:v>
      </x:c>
      <x:c r="J145" s="103" t="n">
        <x:f>(D145/SUMIF($A$4:$A$802,A145,$D$4:$D$802))/(SUMIF($C$4:$C$802,C145,$D$4:$D$802)/SUM($D$4:$D$802))</x:f>
        <x:v>0.2485562353724284</x:v>
      </x:c>
    </x:row>
    <x:row r="146">
      <x:c r="A146" s="101" t="str">
        <x:v>栃木県</x:v>
      </x:c>
      <x:c r="B146" s="101" t="str">
        <x:v>H</x:v>
      </x:c>
      <x:c r="C146" s="101" t="str">
        <x:v>運輸業，郵便業</x:v>
      </x:c>
      <x:c r="D146" s="102" t="n">
        <x:v>46313</x:v>
      </x:c>
      <x:c r="E146" s="102" t="n">
        <x:f>1+COUNTIFS($C$4:$C$802,C146,$D$4:$D$802,"&gt;"&amp;D146)</x:f>
        <x:v>18</x:v>
      </x:c>
      <x:c r="F146" s="102" t="n">
        <x:v>1933146</x:v>
      </x:c>
      <x:c r="G146" s="126" t="n">
        <x:f>D146/F146*10000</x:f>
        <x:v>239.57321381830445</x:v>
      </x:c>
      <x:c r="H146" s="127" t="n">
        <x:f>1+COUNTIFS($C$4:$C$802,C146,$G$4:$G$802,"&gt;"&amp;G146)</x:f>
        <x:v>22</x:v>
      </x:c>
      <x:c r="I146" s="128" t="n">
        <x:f>D146/SUMIF($C$4:$C$802,C146,$D$4:$D$802)</x:f>
        <x:v>0.014185841786804071</x:v>
      </x:c>
      <x:c r="J146" s="103" t="n">
        <x:f>(D146/SUMIF($A$4:$A$802,A146,$D$4:$D$802))/(SUMIF($C$4:$C$802,C146,$D$4:$D$802)/SUM($D$4:$D$802))</x:f>
        <x:v>0.9440174430607785</x:v>
      </x:c>
    </x:row>
    <x:row r="147">
      <x:c r="A147" s="101" t="str">
        <x:v>栃木県</x:v>
      </x:c>
      <x:c r="B147" s="101" t="str">
        <x:v>I</x:v>
      </x:c>
      <x:c r="C147" s="101" t="str">
        <x:v>卸売業，小売業</x:v>
      </x:c>
      <x:c r="D147" s="102" t="n">
        <x:v>159007</x:v>
      </x:c>
      <x:c r="E147" s="102" t="n">
        <x:f>1+COUNTIFS($C$4:$C$802,C147,$D$4:$D$802,"&gt;"&amp;D147)</x:f>
        <x:v>20</x:v>
      </x:c>
      <x:c r="F147" s="102" t="n">
        <x:v>1933146</x:v>
      </x:c>
      <x:c r="G147" s="126" t="n">
        <x:f>D147/F147*10000</x:f>
        <x:v>822.529700291649</x:v>
      </x:c>
      <x:c r="H147" s="127" t="n">
        <x:f>1+COUNTIFS($C$4:$C$802,C147,$G$4:$G$802,"&gt;"&amp;G147)</x:f>
        <x:v>35</x:v>
      </x:c>
      <x:c r="I147" s="128" t="n">
        <x:f>D147/SUMIF($C$4:$C$802,C147,$D$4:$D$802)</x:f>
        <x:v>0.013693424104394758</x:v>
      </x:c>
      <x:c r="J147" s="103" t="n">
        <x:f>(D147/SUMIF($A$4:$A$802,A147,$D$4:$D$802))/(SUMIF($C$4:$C$802,C147,$D$4:$D$802)/SUM($D$4:$D$802))</x:f>
        <x:v>0.9112487932723418</x:v>
      </x:c>
    </x:row>
    <x:row r="148">
      <x:c r="A148" s="101" t="str">
        <x:v>栃木県</x:v>
      </x:c>
      <x:c r="B148" s="101" t="str">
        <x:v>J</x:v>
      </x:c>
      <x:c r="C148" s="101" t="str">
        <x:v>金融業，保険業</x:v>
      </x:c>
      <x:c r="D148" s="102" t="n">
        <x:v>17164</x:v>
      </x:c>
      <x:c r="E148" s="102" t="n">
        <x:f>1+COUNTIFS($C$4:$C$802,C148,$D$4:$D$802,"&gt;"&amp;D148)</x:f>
        <x:v>20</x:v>
      </x:c>
      <x:c r="F148" s="102" t="n">
        <x:v>1933146</x:v>
      </x:c>
      <x:c r="G148" s="126" t="n">
        <x:f>D148/F148*10000</x:f>
        <x:v>88.78791358748899</x:v>
      </x:c>
      <x:c r="H148" s="127" t="n">
        <x:f>1+COUNTIFS($C$4:$C$802,C148,$G$4:$G$802,"&gt;"&amp;G148)</x:f>
        <x:v>37</x:v>
      </x:c>
      <x:c r="I148" s="128" t="n">
        <x:f>D148/SUMIF($C$4:$C$802,C148,$D$4:$D$802)</x:f>
        <x:v>0.011485269359142847</x:v>
      </x:c>
      <x:c r="J148" s="103" t="n">
        <x:f>(D148/SUMIF($A$4:$A$802,A148,$D$4:$D$802))/(SUMIF($C$4:$C$802,C148,$D$4:$D$802)/SUM($D$4:$D$802))</x:f>
        <x:v>0.7643039289616239</x:v>
      </x:c>
    </x:row>
    <x:row r="149">
      <x:c r="A149" s="101" t="str">
        <x:v>栃木県</x:v>
      </x:c>
      <x:c r="B149" s="101" t="str">
        <x:v>K</x:v>
      </x:c>
      <x:c r="C149" s="101" t="str">
        <x:v>不動産業，物品賃貸業</x:v>
      </x:c>
      <x:c r="D149" s="102" t="n">
        <x:v>16452</x:v>
      </x:c>
      <x:c r="E149" s="102" t="n">
        <x:f>1+COUNTIFS($C$4:$C$802,C149,$D$4:$D$802,"&gt;"&amp;D149)</x:f>
        <x:v>19</x:v>
      </x:c>
      <x:c r="F149" s="102" t="n">
        <x:v>1933146</x:v>
      </x:c>
      <x:c r="G149" s="126" t="n">
        <x:f>D149/F149*10000</x:f>
        <x:v>85.10479808560761</x:v>
      </x:c>
      <x:c r="H149" s="127" t="n">
        <x:f>1+COUNTIFS($C$4:$C$802,C149,$G$4:$G$802,"&gt;"&amp;G149)</x:f>
        <x:v>28</x:v>
      </x:c>
      <x:c r="I149" s="128" t="n">
        <x:f>D149/SUMIF($C$4:$C$802,C149,$D$4:$D$802)</x:f>
        <x:v>0.010167241607328917</x:v>
      </x:c>
      <x:c r="J149" s="103" t="n">
        <x:f>(D149/SUMIF($A$4:$A$802,A149,$D$4:$D$802))/(SUMIF($C$4:$C$802,C149,$D$4:$D$802)/SUM($D$4:$D$802))</x:f>
        <x:v>0.6765938581142282</x:v>
      </x:c>
    </x:row>
    <x:row r="150">
      <x:c r="A150" s="101" t="str">
        <x:v>栃木県</x:v>
      </x:c>
      <x:c r="B150" s="101" t="str">
        <x:v>L</x:v>
      </x:c>
      <x:c r="C150" s="101" t="str">
        <x:v>学術研究，専門・技術サービス業</x:v>
      </x:c>
      <x:c r="D150" s="102" t="n">
        <x:v>31355</x:v>
      </x:c>
      <x:c r="E150" s="102" t="n">
        <x:f>1+COUNTIFS($C$4:$C$802,C150,$D$4:$D$802,"&gt;"&amp;D150)</x:f>
        <x:v>15</x:v>
      </x:c>
      <x:c r="F150" s="102" t="n">
        <x:v>1933146</x:v>
      </x:c>
      <x:c r="G150" s="126" t="n">
        <x:f>D150/F150*10000</x:f>
        <x:v>162.1967507886109</x:v>
      </x:c>
      <x:c r="H150" s="127" t="n">
        <x:f>1+COUNTIFS($C$4:$C$802,C150,$G$4:$G$802,"&gt;"&amp;G150)</x:f>
        <x:v>6</x:v>
      </x:c>
      <x:c r="I150" s="128" t="n">
        <x:f>D150/SUMIF($C$4:$C$802,C150,$D$4:$D$802)</x:f>
        <x:v>0.014797632756309818</x:v>
      </x:c>
      <x:c r="J150" s="103" t="n">
        <x:f>(D150/SUMIF($A$4:$A$802,A150,$D$4:$D$802))/(SUMIF($C$4:$C$802,C150,$D$4:$D$802)/SUM($D$4:$D$802))</x:f>
        <x:v>0.9847299615986441</x:v>
      </x:c>
    </x:row>
    <x:row r="151">
      <x:c r="A151" s="101" t="str">
        <x:v>栃木県</x:v>
      </x:c>
      <x:c r="B151" s="101" t="str">
        <x:v>M</x:v>
      </x:c>
      <x:c r="C151" s="101" t="str">
        <x:v>宿泊業，飲食サービス業</x:v>
      </x:c>
      <x:c r="D151" s="102" t="n">
        <x:v>68355</x:v>
      </x:c>
      <x:c r="E151" s="102" t="n">
        <x:f>1+COUNTIFS($C$4:$C$802,C151,$D$4:$D$802,"&gt;"&amp;D151)</x:f>
        <x:v>19</x:v>
      </x:c>
      <x:c r="F151" s="102" t="n">
        <x:v>1933146</x:v>
      </x:c>
      <x:c r="G151" s="126" t="n">
        <x:f>D151/F151*10000</x:f>
        <x:v>353.5946069257056</x:v>
      </x:c>
      <x:c r="H151" s="127" t="n">
        <x:f>1+COUNTIFS($C$4:$C$802,C151,$G$4:$G$802,"&gt;"&amp;G151)</x:f>
        <x:v>19</x:v>
      </x:c>
      <x:c r="I151" s="128" t="n">
        <x:f>D151/SUMIF($C$4:$C$802,C151,$D$4:$D$802)</x:f>
        <x:v>0.014609705734814444</x:v>
      </x:c>
      <x:c r="J151" s="103" t="n">
        <x:f>(D151/SUMIF($A$4:$A$802,A151,$D$4:$D$802))/(SUMIF($C$4:$C$802,C151,$D$4:$D$802)/SUM($D$4:$D$802))</x:f>
        <x:v>0.972224085036626</x:v>
      </x:c>
    </x:row>
    <x:row r="152">
      <x:c r="A152" s="101" t="str">
        <x:v>栃木県</x:v>
      </x:c>
      <x:c r="B152" s="101" t="str">
        <x:v>N</x:v>
      </x:c>
      <x:c r="C152" s="101" t="str">
        <x:v>生活関連サービス業，娯楽業</x:v>
      </x:c>
      <x:c r="D152" s="102" t="n">
        <x:v>37472</x:v>
      </x:c>
      <x:c r="E152" s="102" t="n">
        <x:f>1+COUNTIFS($C$4:$C$802,C152,$D$4:$D$802,"&gt;"&amp;D152)</x:f>
        <x:v>16</x:v>
      </x:c>
      <x:c r="F152" s="102" t="n">
        <x:v>1933146</x:v>
      </x:c>
      <x:c r="G152" s="126" t="n">
        <x:f>D152/F152*10000</x:f>
        <x:v>193.83947203160028</x:v>
      </x:c>
      <x:c r="H152" s="127" t="n">
        <x:f>1+COUNTIFS($C$4:$C$802,C152,$G$4:$G$802,"&gt;"&amp;G152)</x:f>
        <x:v>3</x:v>
      </x:c>
      <x:c r="I152" s="128" t="n">
        <x:f>D152/SUMIF($C$4:$C$802,C152,$D$4:$D$802)</x:f>
        <x:v>0.01721948827717347</x:v>
      </x:c>
      <x:c r="J152" s="103" t="n">
        <x:f>(D152/SUMIF($A$4:$A$802,A152,$D$4:$D$802))/(SUMIF($C$4:$C$802,C152,$D$4:$D$802)/SUM($D$4:$D$802))</x:f>
        <x:v>1.1458958543689322</x:v>
      </x:c>
    </x:row>
    <x:row r="153">
      <x:c r="A153" s="101" t="str">
        <x:v>栃木県</x:v>
      </x:c>
      <x:c r="B153" s="101" t="str">
        <x:v>O</x:v>
      </x:c>
      <x:c r="C153" s="101" t="str">
        <x:v>教育，学習支援業</x:v>
      </x:c>
      <x:c r="D153" s="102" t="n">
        <x:v>23625</x:v>
      </x:c>
      <x:c r="E153" s="102" t="n">
        <x:f>1+COUNTIFS($C$4:$C$802,C153,$D$4:$D$802,"&gt;"&amp;D153)</x:f>
        <x:v>18</x:v>
      </x:c>
      <x:c r="F153" s="102" t="n">
        <x:v>1933146</x:v>
      </x:c>
      <x:c r="G153" s="126" t="n">
        <x:f>D153/F153*10000</x:f>
        <x:v>122.21011760105031</x:v>
      </x:c>
      <x:c r="H153" s="127" t="n">
        <x:f>1+COUNTIFS($C$4:$C$802,C153,$G$4:$G$802,"&gt;"&amp;G153)</x:f>
        <x:v>32</x:v>
      </x:c>
      <x:c r="I153" s="128" t="n">
        <x:f>D153/SUMIF($C$4:$C$802,C153,$D$4:$D$802)</x:f>
        <x:v>0.012110825976273547</x:v>
      </x:c>
      <x:c r="J153" s="103" t="n">
        <x:f>(D153/SUMIF($A$4:$A$802,A153,$D$4:$D$802))/(SUMIF($C$4:$C$802,C153,$D$4:$D$802)/SUM($D$4:$D$802))</x:f>
        <x:v>0.8059325025118239</x:v>
      </x:c>
    </x:row>
    <x:row r="154">
      <x:c r="A154" s="101" t="str">
        <x:v>栃木県</x:v>
      </x:c>
      <x:c r="B154" s="101" t="str">
        <x:v>P</x:v>
      </x:c>
      <x:c r="C154" s="101" t="str">
        <x:v>医療，福祉</x:v>
      </x:c>
      <x:c r="D154" s="102" t="n">
        <x:v>111665</x:v>
      </x:c>
      <x:c r="E154" s="102" t="n">
        <x:f>1+COUNTIFS($C$4:$C$802,C154,$D$4:$D$802,"&gt;"&amp;D154)</x:f>
        <x:v>23</x:v>
      </x:c>
      <x:c r="F154" s="102" t="n">
        <x:v>1933146</x:v>
      </x:c>
      <x:c r="G154" s="126" t="n">
        <x:f>D154/F154*10000</x:f>
        <x:v>577.633556906721</x:v>
      </x:c>
      <x:c r="H154" s="127" t="n">
        <x:f>1+COUNTIFS($C$4:$C$802,C154,$G$4:$G$802,"&gt;"&amp;G154)</x:f>
        <x:v>41</x:v>
      </x:c>
      <x:c r="I154" s="128" t="n">
        <x:f>D154/SUMIF($C$4:$C$802,C154,$D$4:$D$802)</x:f>
        <x:v>0.013680415975795349</x:v>
      </x:c>
      <x:c r="J154" s="103" t="n">
        <x:f>(D154/SUMIF($A$4:$A$802,A154,$D$4:$D$802))/(SUMIF($C$4:$C$802,C154,$D$4:$D$802)/SUM($D$4:$D$802))</x:f>
        <x:v>0.9103831484636675</x:v>
      </x:c>
    </x:row>
    <x:row r="155">
      <x:c r="A155" s="101" t="str">
        <x:v>栃木県</x:v>
      </x:c>
      <x:c r="B155" s="101" t="str">
        <x:v>Q</x:v>
      </x:c>
      <x:c r="C155" s="101" t="str">
        <x:v>複合サービス事業</x:v>
      </x:c>
      <x:c r="D155" s="102" t="n">
        <x:v>7004</x:v>
      </x:c>
      <x:c r="E155" s="102" t="n">
        <x:f>1+COUNTIFS($C$4:$C$802,C155,$D$4:$D$802,"&gt;"&amp;D155)</x:f>
        <x:v>24</x:v>
      </x:c>
      <x:c r="F155" s="102" t="n">
        <x:v>1933146</x:v>
      </x:c>
      <x:c r="G155" s="126" t="n">
        <x:f>D155/F155*10000</x:f>
        <x:v>36.231096875248944</x:v>
      </x:c>
      <x:c r="H155" s="127" t="n">
        <x:f>1+COUNTIFS($C$4:$C$802,C155,$G$4:$G$802,"&gt;"&amp;G155)</x:f>
        <x:v>35</x:v>
      </x:c>
      <x:c r="I155" s="128" t="n">
        <x:f>D155/SUMIF($C$4:$C$802,C155,$D$4:$D$802)</x:f>
        <x:v>0.016065325595797875</x:v>
      </x:c>
      <x:c r="J155" s="103" t="n">
        <x:f>(D155/SUMIF($A$4:$A$802,A155,$D$4:$D$802))/(SUMIF($C$4:$C$802,C155,$D$4:$D$802)/SUM($D$4:$D$802))</x:f>
        <x:v>1.0690904226065479</x:v>
      </x:c>
    </x:row>
    <x:row r="156">
      <x:c r="A156" s="101" t="str">
        <x:v>栃木県</x:v>
      </x:c>
      <x:c r="B156" s="101" t="str">
        <x:v>R</x:v>
      </x:c>
      <x:c r="C156" s="101" t="str">
        <x:v>サービス業（他に分類されないもの）</x:v>
      </x:c>
      <x:c r="D156" s="102" t="n">
        <x:v>67620</x:v>
      </x:c>
      <x:c r="E156" s="102" t="n">
        <x:f>1+COUNTIFS($C$4:$C$802,C156,$D$4:$D$802,"&gt;"&amp;D156)</x:f>
        <x:v>17</x:v>
      </x:c>
      <x:c r="F156" s="102" t="n">
        <x:v>1933146</x:v>
      </x:c>
      <x:c r="G156" s="126" t="n">
        <x:f>D156/F156*10000</x:f>
        <x:v>349.79251437811735</x:v>
      </x:c>
      <x:c r="H156" s="127" t="n">
        <x:f>1+COUNTIFS($C$4:$C$802,C156,$G$4:$G$802,"&gt;"&amp;G156)</x:f>
        <x:v>19</x:v>
      </x:c>
      <x:c r="I156" s="128" t="n">
        <x:f>D156/SUMIF($C$4:$C$802,C156,$D$4:$D$802)</x:f>
        <x:v>0.012918541545949373</x:v>
      </x:c>
      <x:c r="J156" s="103" t="n">
        <x:f>(D156/SUMIF($A$4:$A$802,A156,$D$4:$D$802))/(SUMIF($C$4:$C$802,C156,$D$4:$D$802)/SUM($D$4:$D$802))</x:f>
        <x:v>0.8596831080990823</x:v>
      </x:c>
    </x:row>
    <x:row r="157">
      <x:c r="A157" s="101" t="str">
        <x:v>群馬県</x:v>
      </x:c>
      <x:c r="B157" s="101" t="str">
        <x:v>AB</x:v>
      </x:c>
      <x:c r="C157" s="101" t="str">
        <x:v>農林漁業</x:v>
      </x:c>
      <x:c r="D157" s="102" t="n">
        <x:v>9420</x:v>
      </x:c>
      <x:c r="E157" s="102" t="n">
        <x:f>1+COUNTIFS($C$4:$C$802,C157,$D$4:$D$802,"&gt;"&amp;D157)</x:f>
        <x:v>22</x:v>
      </x:c>
      <x:c r="F157" s="102" t="n">
        <x:v>1939110</x:v>
      </x:c>
      <x:c r="G157" s="126" t="n">
        <x:f>D157/F157*10000</x:f>
        <x:v>48.57898726735461</x:v>
      </x:c>
      <x:c r="H157" s="127" t="n">
        <x:f>1+COUNTIFS($C$4:$C$802,C157,$G$4:$G$802,"&gt;"&amp;G157)</x:f>
        <x:v>27</x:v>
      </x:c>
      <x:c r="I157" s="128" t="n">
        <x:f>D157/SUMIF($C$4:$C$802,C157,$D$4:$D$802)</x:f>
        <x:v>0.020762481182623874</x:v>
      </x:c>
      <x:c r="J157" s="103" t="n">
        <x:f>(D157/SUMIF($A$4:$A$802,A157,$D$4:$D$802))/(SUMIF($C$4:$C$802,C157,$D$4:$D$802)/SUM($D$4:$D$802))</x:f>
        <x:v>1.3431541094700241</x:v>
      </x:c>
    </x:row>
    <x:row r="158">
      <x:c r="A158" s="101" t="str">
        <x:v>群馬県</x:v>
      </x:c>
      <x:c r="B158" s="101" t="str">
        <x:v>C</x:v>
      </x:c>
      <x:c r="C158" s="101" t="str">
        <x:v>鉱業，採石業，砂利採取業</x:v>
      </x:c>
      <x:c r="D158" s="102" t="n">
        <x:v>212</x:v>
      </x:c>
      <x:c r="E158" s="102" t="n">
        <x:f>1+COUNTIFS($C$4:$C$802,C158,$D$4:$D$802,"&gt;"&amp;D158)</x:f>
        <x:v>33</x:v>
      </x:c>
      <x:c r="F158" s="102" t="n">
        <x:v>1939110</x:v>
      </x:c>
      <x:c r="G158" s="126" t="n">
        <x:f>D158/F158*10000</x:f>
        <x:v>1.093285063766367</x:v>
      </x:c>
      <x:c r="H158" s="127" t="n">
        <x:f>1+COUNTIFS($C$4:$C$802,C158,$G$4:$G$802,"&gt;"&amp;G158)</x:f>
        <x:v>35</x:v>
      </x:c>
      <x:c r="I158" s="128" t="n">
        <x:f>D158/SUMIF($C$4:$C$802,C158,$D$4:$D$802)</x:f>
        <x:v>0.010763060364522516</x:v>
      </x:c>
      <x:c r="J158" s="103" t="n">
        <x:f>(D158/SUMIF($A$4:$A$802,A158,$D$4:$D$802))/(SUMIF($C$4:$C$802,C158,$D$4:$D$802)/SUM($D$4:$D$802))</x:f>
        <x:v>0.6962775128813101</x:v>
      </x:c>
    </x:row>
    <x:row r="159">
      <x:c r="A159" s="101" t="str">
        <x:v>群馬県</x:v>
      </x:c>
      <x:c r="B159" s="101" t="str">
        <x:v>D</x:v>
      </x:c>
      <x:c r="C159" s="101" t="str">
        <x:v>建設業</x:v>
      </x:c>
      <x:c r="D159" s="102" t="n">
        <x:v>56301</x:v>
      </x:c>
      <x:c r="E159" s="102" t="n">
        <x:f>1+COUNTIFS($C$4:$C$802,C159,$D$4:$D$802,"&gt;"&amp;D159)</x:f>
        <x:v>19</x:v>
      </x:c>
      <x:c r="F159" s="102" t="n">
        <x:v>1939110</x:v>
      </x:c>
      <x:c r="G159" s="126" t="n">
        <x:f>D159/F159*10000</x:f>
        <x:v>290.3445395052369</x:v>
      </x:c>
      <x:c r="H159" s="127" t="n">
        <x:f>1+COUNTIFS($C$4:$C$802,C159,$G$4:$G$802,"&gt;"&amp;G159)</x:f>
        <x:v>34</x:v>
      </x:c>
      <x:c r="I159" s="128" t="n">
        <x:f>D159/SUMIF($C$4:$C$802,C159,$D$4:$D$802)</x:f>
        <x:v>0.015064155305204266</x:v>
      </x:c>
      <x:c r="J159" s="103" t="n">
        <x:f>(D159/SUMIF($A$4:$A$802,A159,$D$4:$D$802))/(SUMIF($C$4:$C$802,C159,$D$4:$D$802)/SUM($D$4:$D$802))</x:f>
        <x:v>0.9745213939465568</x:v>
      </x:c>
    </x:row>
    <x:row r="160">
      <x:c r="A160" s="101" t="str">
        <x:v>群馬県</x:v>
      </x:c>
      <x:c r="B160" s="101" t="str">
        <x:v>E</x:v>
      </x:c>
      <x:c r="C160" s="101" t="str">
        <x:v>製造業</x:v>
      </x:c>
      <x:c r="D160" s="102" t="n">
        <x:v>225230</x:v>
      </x:c>
      <x:c r="E160" s="102" t="n">
        <x:f>1+COUNTIFS($C$4:$C$802,C160,$D$4:$D$802,"&gt;"&amp;D160)</x:f>
        <x:v>12</x:v>
      </x:c>
      <x:c r="F160" s="102" t="n">
        <x:v>1939110</x:v>
      </x:c>
      <x:c r="G160" s="126" t="n">
        <x:f>D160/F160*10000</x:f>
        <x:v>1161.5122401514097</x:v>
      </x:c>
      <x:c r="H160" s="127" t="n">
        <x:f>1+COUNTIFS($C$4:$C$802,C160,$G$4:$G$802,"&gt;"&amp;G160)</x:f>
        <x:v>6</x:v>
      </x:c>
      <x:c r="I160" s="128" t="n">
        <x:f>D160/SUMIF($C$4:$C$802,C160,$D$4:$D$802)</x:f>
        <x:v>0.025583727100247023</x:v>
      </x:c>
      <x:c r="J160" s="103" t="n">
        <x:f>(D160/SUMIF($A$4:$A$802,A160,$D$4:$D$802))/(SUMIF($C$4:$C$802,C160,$D$4:$D$802)/SUM($D$4:$D$802))</x:f>
        <x:v>1.6550472888093317</x:v>
      </x:c>
    </x:row>
    <x:row r="161">
      <x:c r="A161" s="101" t="str">
        <x:v>群馬県</x:v>
      </x:c>
      <x:c r="B161" s="101" t="str">
        <x:v>F</x:v>
      </x:c>
      <x:c r="C161" s="101" t="str">
        <x:v>電気・ガス・熱供給・水道業</x:v>
      </x:c>
      <x:c r="D161" s="102" t="n">
        <x:v>2571</x:v>
      </x:c>
      <x:c r="E161" s="102" t="n">
        <x:f>1+COUNTIFS($C$4:$C$802,C161,$D$4:$D$802,"&gt;"&amp;D161)</x:f>
        <x:v>23</x:v>
      </x:c>
      <x:c r="F161" s="102" t="n">
        <x:v>1939110</x:v>
      </x:c>
      <x:c r="G161" s="126" t="n">
        <x:f>D161/F161*10000</x:f>
        <x:v>13.258659900676083</x:v>
      </x:c>
      <x:c r="H161" s="127" t="n">
        <x:f>1+COUNTIFS($C$4:$C$802,C161,$G$4:$G$802,"&gt;"&amp;G161)</x:f>
        <x:v>34</x:v>
      </x:c>
      <x:c r="I161" s="128" t="n">
        <x:f>D161/SUMIF($C$4:$C$802,C161,$D$4:$D$802)</x:f>
        <x:v>0.01271834142142677</x:v>
      </x:c>
      <x:c r="J161" s="103" t="n">
        <x:f>(D161/SUMIF($A$4:$A$802,A161,$D$4:$D$802))/(SUMIF($C$4:$C$802,C161,$D$4:$D$802)/SUM($D$4:$D$802))</x:f>
        <x:v>0.8227673944927499</x:v>
      </x:c>
    </x:row>
    <x:row r="162">
      <x:c r="A162" s="101" t="str">
        <x:v>群馬県</x:v>
      </x:c>
      <x:c r="B162" s="101" t="str">
        <x:v>G</x:v>
      </x:c>
      <x:c r="C162" s="101" t="str">
        <x:v>情報通信業</x:v>
      </x:c>
      <x:c r="D162" s="102" t="n">
        <x:v>8619</x:v>
      </x:c>
      <x:c r="E162" s="102" t="n">
        <x:f>1+COUNTIFS($C$4:$C$802,C162,$D$4:$D$802,"&gt;"&amp;D162)</x:f>
        <x:v>20</x:v>
      </x:c>
      <x:c r="F162" s="102" t="n">
        <x:v>1939110</x:v>
      </x:c>
      <x:c r="G162" s="126" t="n">
        <x:f>D162/F162*10000</x:f>
        <x:v>44.448226248124136</x:v>
      </x:c>
      <x:c r="H162" s="127" t="n">
        <x:f>1+COUNTIFS($C$4:$C$802,C162,$G$4:$G$802,"&gt;"&amp;G162)</x:f>
        <x:v>32</x:v>
      </x:c>
      <x:c r="I162" s="128" t="n">
        <x:f>D162/SUMIF($C$4:$C$802,C162,$D$4:$D$802)</x:f>
        <x:v>0.004338046515092567</x:v>
      </x:c>
      <x:c r="J162" s="103" t="n">
        <x:f>(D162/SUMIF($A$4:$A$802,A162,$D$4:$D$802))/(SUMIF($C$4:$C$802,C162,$D$4:$D$802)/SUM($D$4:$D$802))</x:f>
        <x:v>0.2806343303850908</x:v>
      </x:c>
    </x:row>
    <x:row r="163">
      <x:c r="A163" s="101" t="str">
        <x:v>群馬県</x:v>
      </x:c>
      <x:c r="B163" s="101" t="str">
        <x:v>H</x:v>
      </x:c>
      <x:c r="C163" s="101" t="str">
        <x:v>運輸業，郵便業</x:v>
      </x:c>
      <x:c r="D163" s="102" t="n">
        <x:v>50235</x:v>
      </x:c>
      <x:c r="E163" s="102" t="n">
        <x:f>1+COUNTIFS($C$4:$C$802,C163,$D$4:$D$802,"&gt;"&amp;D163)</x:f>
        <x:v>17</x:v>
      </x:c>
      <x:c r="F163" s="102" t="n">
        <x:v>1939110</x:v>
      </x:c>
      <x:c r="G163" s="126" t="n">
        <x:f>D163/F163*10000</x:f>
        <x:v>259.06214706746914</x:v>
      </x:c>
      <x:c r="H163" s="127" t="n">
        <x:f>1+COUNTIFS($C$4:$C$802,C163,$G$4:$G$802,"&gt;"&amp;G163)</x:f>
        <x:v>13</x:v>
      </x:c>
      <x:c r="I163" s="128" t="n">
        <x:f>D163/SUMIF($C$4:$C$802,C163,$D$4:$D$802)</x:f>
        <x:v>0.015387164773607897</x:v>
      </x:c>
      <x:c r="J163" s="103" t="n">
        <x:f>(D163/SUMIF($A$4:$A$802,A163,$D$4:$D$802))/(SUMIF($C$4:$C$802,C163,$D$4:$D$802)/SUM($D$4:$D$802))</x:f>
        <x:v>0.9954173307600798</x:v>
      </x:c>
    </x:row>
    <x:row r="164">
      <x:c r="A164" s="101" t="str">
        <x:v>群馬県</x:v>
      </x:c>
      <x:c r="B164" s="101" t="str">
        <x:v>I</x:v>
      </x:c>
      <x:c r="C164" s="101" t="str">
        <x:v>卸売業，小売業</x:v>
      </x:c>
      <x:c r="D164" s="102" t="n">
        <x:v>164361</x:v>
      </x:c>
      <x:c r="E164" s="102" t="n">
        <x:f>1+COUNTIFS($C$4:$C$802,C164,$D$4:$D$802,"&gt;"&amp;D164)</x:f>
        <x:v>18</x:v>
      </x:c>
      <x:c r="F164" s="102" t="n">
        <x:v>1939110</x:v>
      </x:c>
      <x:c r="G164" s="126" t="n">
        <x:f>D164/F164*10000</x:f>
        <x:v>847.6105017250183</x:v>
      </x:c>
      <x:c r="H164" s="127" t="n">
        <x:f>1+COUNTIFS($C$4:$C$802,C164,$G$4:$G$802,"&gt;"&amp;G164)</x:f>
        <x:v>26</x:v>
      </x:c>
      <x:c r="I164" s="128" t="n">
        <x:f>D164/SUMIF($C$4:$C$802,C164,$D$4:$D$802)</x:f>
        <x:v>0.014154501872385662</x:v>
      </x:c>
      <x:c r="J164" s="103" t="n">
        <x:f>(D164/SUMIF($A$4:$A$802,A164,$D$4:$D$802))/(SUMIF($C$4:$C$802,C164,$D$4:$D$802)/SUM($D$4:$D$802))</x:f>
        <x:v>0.9156746339790462</x:v>
      </x:c>
    </x:row>
    <x:row r="165">
      <x:c r="A165" s="101" t="str">
        <x:v>群馬県</x:v>
      </x:c>
      <x:c r="B165" s="101" t="str">
        <x:v>J</x:v>
      </x:c>
      <x:c r="C165" s="101" t="str">
        <x:v>金融業，保険業</x:v>
      </x:c>
      <x:c r="D165" s="102" t="n">
        <x:v>19820</x:v>
      </x:c>
      <x:c r="E165" s="102" t="n">
        <x:f>1+COUNTIFS($C$4:$C$802,C165,$D$4:$D$802,"&gt;"&amp;D165)</x:f>
        <x:v>17</x:v>
      </x:c>
      <x:c r="F165" s="102" t="n">
        <x:v>1939110</x:v>
      </x:c>
      <x:c r="G165" s="126" t="n">
        <x:f>D165/F165*10000</x:f>
        <x:v>102.21183945211978</x:v>
      </x:c>
      <x:c r="H165" s="127" t="n">
        <x:f>1+COUNTIFS($C$4:$C$802,C165,$G$4:$G$802,"&gt;"&amp;G165)</x:f>
        <x:v>21</x:v>
      </x:c>
      <x:c r="I165" s="128" t="n">
        <x:f>D165/SUMIF($C$4:$C$802,C165,$D$4:$D$802)</x:f>
        <x:v>0.013262528472279843</x:v>
      </x:c>
      <x:c r="J165" s="103" t="n">
        <x:f>(D165/SUMIF($A$4:$A$802,A165,$D$4:$D$802))/(SUMIF($C$4:$C$802,C165,$D$4:$D$802)/SUM($D$4:$D$802))</x:f>
        <x:v>0.8579716201941266</x:v>
      </x:c>
    </x:row>
    <x:row r="166">
      <x:c r="A166" s="101" t="str">
        <x:v>群馬県</x:v>
      </x:c>
      <x:c r="B166" s="101" t="str">
        <x:v>K</x:v>
      </x:c>
      <x:c r="C166" s="101" t="str">
        <x:v>不動産業，物品賃貸業</x:v>
      </x:c>
      <x:c r="D166" s="102" t="n">
        <x:v>15867</x:v>
      </x:c>
      <x:c r="E166" s="102" t="n">
        <x:f>1+COUNTIFS($C$4:$C$802,C166,$D$4:$D$802,"&gt;"&amp;D166)</x:f>
        <x:v>21</x:v>
      </x:c>
      <x:c r="F166" s="102" t="n">
        <x:v>1939110</x:v>
      </x:c>
      <x:c r="G166" s="126" t="n">
        <x:f>D166/F166*10000</x:f>
        <x:v>81.82619861689125</x:v>
      </x:c>
      <x:c r="H166" s="127" t="n">
        <x:f>1+COUNTIFS($C$4:$C$802,C166,$G$4:$G$802,"&gt;"&amp;G166)</x:f>
        <x:v>32</x:v>
      </x:c>
      <x:c r="I166" s="128" t="n">
        <x:f>D166/SUMIF($C$4:$C$802,C166,$D$4:$D$802)</x:f>
        <x:v>0.009805714963742277</x:v>
      </x:c>
      <x:c r="J166" s="103" t="n">
        <x:f>(D166/SUMIF($A$4:$A$802,A166,$D$4:$D$802))/(SUMIF($C$4:$C$802,C166,$D$4:$D$802)/SUM($D$4:$D$802))</x:f>
        <x:v>0.6343454924291329</x:v>
      </x:c>
    </x:row>
    <x:row r="167">
      <x:c r="A167" s="101" t="str">
        <x:v>群馬県</x:v>
      </x:c>
      <x:c r="B167" s="101" t="str">
        <x:v>L</x:v>
      </x:c>
      <x:c r="C167" s="101" t="str">
        <x:v>学術研究，専門・技術サービス業</x:v>
      </x:c>
      <x:c r="D167" s="102" t="n">
        <x:v>23764</x:v>
      </x:c>
      <x:c r="E167" s="102" t="n">
        <x:f>1+COUNTIFS($C$4:$C$802,C167,$D$4:$D$802,"&gt;"&amp;D167)</x:f>
        <x:v>17</x:v>
      </x:c>
      <x:c r="F167" s="102" t="n">
        <x:v>1939110</x:v>
      </x:c>
      <x:c r="G167" s="126" t="n">
        <x:f>D167/F167*10000</x:f>
        <x:v>122.55106724218842</x:v>
      </x:c>
      <x:c r="H167" s="127" t="n">
        <x:f>1+COUNTIFS($C$4:$C$802,C167,$G$4:$G$802,"&gt;"&amp;G167)</x:f>
        <x:v>16</x:v>
      </x:c>
      <x:c r="I167" s="128" t="n">
        <x:f>D167/SUMIF($C$4:$C$802,C167,$D$4:$D$802)</x:f>
        <x:v>0.011215147339210542</x:v>
      </x:c>
      <x:c r="J167" s="103" t="n">
        <x:f>(D167/SUMIF($A$4:$A$802,A167,$D$4:$D$802))/(SUMIF($C$4:$C$802,C167,$D$4:$D$802)/SUM($D$4:$D$802))</x:f>
        <x:v>0.7255236551197568</x:v>
      </x:c>
    </x:row>
    <x:row r="168">
      <x:c r="A168" s="101" t="str">
        <x:v>群馬県</x:v>
      </x:c>
      <x:c r="B168" s="101" t="str">
        <x:v>M</x:v>
      </x:c>
      <x:c r="C168" s="101" t="str">
        <x:v>宿泊業，飲食サービス業</x:v>
      </x:c>
      <x:c r="D168" s="102" t="n">
        <x:v>62191</x:v>
      </x:c>
      <x:c r="E168" s="102" t="n">
        <x:f>1+COUNTIFS($C$4:$C$802,C168,$D$4:$D$802,"&gt;"&amp;D168)</x:f>
        <x:v>21</x:v>
      </x:c>
      <x:c r="F168" s="102" t="n">
        <x:v>1939110</x:v>
      </x:c>
      <x:c r="G168" s="126" t="n">
        <x:f>D168/F168*10000</x:f>
        <x:v>320.719299059878</x:v>
      </x:c>
      <x:c r="H168" s="127" t="n">
        <x:f>1+COUNTIFS($C$4:$C$802,C168,$G$4:$G$802,"&gt;"&amp;G168)</x:f>
        <x:v>38</x:v>
      </x:c>
      <x:c r="I168" s="128" t="n">
        <x:f>D168/SUMIF($C$4:$C$802,C168,$D$4:$D$802)</x:f>
        <x:v>0.013292256738407508</x:v>
      </x:c>
      <x:c r="J168" s="103" t="n">
        <x:f>(D168/SUMIF($A$4:$A$802,A168,$D$4:$D$802))/(SUMIF($C$4:$C$802,C168,$D$4:$D$802)/SUM($D$4:$D$802))</x:f>
        <x:v>0.8598947835417813</x:v>
      </x:c>
    </x:row>
    <x:row r="169">
      <x:c r="A169" s="101" t="str">
        <x:v>群馬県</x:v>
      </x:c>
      <x:c r="B169" s="101" t="str">
        <x:v>N</x:v>
      </x:c>
      <x:c r="C169" s="101" t="str">
        <x:v>生活関連サービス業，娯楽業</x:v>
      </x:c>
      <x:c r="D169" s="102" t="n">
        <x:v>33022</x:v>
      </x:c>
      <x:c r="E169" s="102" t="n">
        <x:f>1+COUNTIFS($C$4:$C$802,C169,$D$4:$D$802,"&gt;"&amp;D169)</x:f>
        <x:v>19</x:v>
      </x:c>
      <x:c r="F169" s="102" t="n">
        <x:v>1939110</x:v>
      </x:c>
      <x:c r="G169" s="126" t="n">
        <x:f>D169/F169*10000</x:f>
        <x:v>170.29461969666497</x:v>
      </x:c>
      <x:c r="H169" s="127" t="n">
        <x:f>1+COUNTIFS($C$4:$C$802,C169,$G$4:$G$802,"&gt;"&amp;G169)</x:f>
        <x:v>19</x:v>
      </x:c>
      <x:c r="I169" s="128" t="n">
        <x:f>D169/SUMIF($C$4:$C$802,C169,$D$4:$D$802)</x:f>
        <x:v>0.015174582138365242</x:v>
      </x:c>
      <x:c r="J169" s="103" t="n">
        <x:f>(D169/SUMIF($A$4:$A$802,A169,$D$4:$D$802))/(SUMIF($C$4:$C$802,C169,$D$4:$D$802)/SUM($D$4:$D$802))</x:f>
        <x:v>0.9816650610955514</x:v>
      </x:c>
    </x:row>
    <x:row r="170">
      <x:c r="A170" s="101" t="str">
        <x:v>群馬県</x:v>
      </x:c>
      <x:c r="B170" s="101" t="str">
        <x:v>O</x:v>
      </x:c>
      <x:c r="C170" s="101" t="str">
        <x:v>教育，学習支援業</x:v>
      </x:c>
      <x:c r="D170" s="102" t="n">
        <x:v>24943</x:v>
      </x:c>
      <x:c r="E170" s="102" t="n">
        <x:f>1+COUNTIFS($C$4:$C$802,C170,$D$4:$D$802,"&gt;"&amp;D170)</x:f>
        <x:v>16</x:v>
      </x:c>
      <x:c r="F170" s="102" t="n">
        <x:v>1939110</x:v>
      </x:c>
      <x:c r="G170" s="126" t="n">
        <x:f>D170/F170*10000</x:f>
        <x:v>128.6311761581344</x:v>
      </x:c>
      <x:c r="H170" s="127" t="n">
        <x:f>1+COUNTIFS($C$4:$C$802,C170,$G$4:$G$802,"&gt;"&amp;G170)</x:f>
        <x:v>26</x:v>
      </x:c>
      <x:c r="I170" s="128" t="n">
        <x:f>D170/SUMIF($C$4:$C$802,C170,$D$4:$D$802)</x:f>
        <x:v>0.012786469093172109</x:v>
      </x:c>
      <x:c r="J170" s="103" t="n">
        <x:f>(D170/SUMIF($A$4:$A$802,A170,$D$4:$D$802))/(SUMIF($C$4:$C$802,C170,$D$4:$D$802)/SUM($D$4:$D$802))</x:f>
        <x:v>0.8271746693973484</x:v>
      </x:c>
    </x:row>
    <x:row r="171">
      <x:c r="A171" s="101" t="str">
        <x:v>群馬県</x:v>
      </x:c>
      <x:c r="B171" s="101" t="str">
        <x:v>P</x:v>
      </x:c>
      <x:c r="C171" s="101" t="str">
        <x:v>医療，福祉</x:v>
      </x:c>
      <x:c r="D171" s="102" t="n">
        <x:v>121602</x:v>
      </x:c>
      <x:c r="E171" s="102" t="n">
        <x:f>1+COUNTIFS($C$4:$C$802,C171,$D$4:$D$802,"&gt;"&amp;D171)</x:f>
        <x:v>20</x:v>
      </x:c>
      <x:c r="F171" s="102" t="n">
        <x:v>1939110</x:v>
      </x:c>
      <x:c r="G171" s="126" t="n">
        <x:f>D171/F171*10000</x:f>
        <x:v>627.1021241703669</x:v>
      </x:c>
      <x:c r="H171" s="127" t="n">
        <x:f>1+COUNTIFS($C$4:$C$802,C171,$G$4:$G$802,"&gt;"&amp;G171)</x:f>
        <x:v>28</x:v>
      </x:c>
      <x:c r="I171" s="128" t="n">
        <x:f>D171/SUMIF($C$4:$C$802,C171,$D$4:$D$802)</x:f>
        <x:v>0.014897827819716707</x:v>
      </x:c>
      <x:c r="J171" s="103" t="n">
        <x:f>(D171/SUMIF($A$4:$A$802,A171,$D$4:$D$802))/(SUMIF($C$4:$C$802,C171,$D$4:$D$802)/SUM($D$4:$D$802))</x:f>
        <x:v>0.9637614349760752</x:v>
      </x:c>
    </x:row>
    <x:row r="172">
      <x:c r="A172" s="101" t="str">
        <x:v>群馬県</x:v>
      </x:c>
      <x:c r="B172" s="101" t="str">
        <x:v>Q</x:v>
      </x:c>
      <x:c r="C172" s="101" t="str">
        <x:v>複合サービス事業</x:v>
      </x:c>
      <x:c r="D172" s="102" t="n">
        <x:v>6300</x:v>
      </x:c>
      <x:c r="E172" s="102" t="n">
        <x:f>1+COUNTIFS($C$4:$C$802,C172,$D$4:$D$802,"&gt;"&amp;D172)</x:f>
        <x:v>28</x:v>
      </x:c>
      <x:c r="F172" s="102" t="n">
        <x:v>1939110</x:v>
      </x:c>
      <x:c r="G172" s="126" t="n">
        <x:f>D172/F172*10000</x:f>
        <x:v>32.48913161192506</x:v>
      </x:c>
      <x:c r="H172" s="127" t="n">
        <x:f>1+COUNTIFS($C$4:$C$802,C172,$G$4:$G$802,"&gt;"&amp;G172)</x:f>
        <x:v>37</x:v>
      </x:c>
      <x:c r="I172" s="128" t="n">
        <x:f>D172/SUMIF($C$4:$C$802,C172,$D$4:$D$802)</x:f>
        <x:v>0.014450535587311053</x:v>
      </x:c>
      <x:c r="J172" s="103" t="n">
        <x:f>(D172/SUMIF($A$4:$A$802,A172,$D$4:$D$802))/(SUMIF($C$4:$C$802,C172,$D$4:$D$802)/SUM($D$4:$D$802))</x:f>
        <x:v>0.934825471359527</x:v>
      </x:c>
    </x:row>
    <x:row r="173">
      <x:c r="A173" s="101" t="str">
        <x:v>群馬県</x:v>
      </x:c>
      <x:c r="B173" s="101" t="str">
        <x:v>R</x:v>
      </x:c>
      <x:c r="C173" s="101" t="str">
        <x:v>サービス業（他に分類されないもの）</x:v>
      </x:c>
      <x:c r="D173" s="102" t="n">
        <x:v>71332</x:v>
      </x:c>
      <x:c r="E173" s="102" t="n">
        <x:f>1+COUNTIFS($C$4:$C$802,C173,$D$4:$D$802,"&gt;"&amp;D173)</x:f>
        <x:v>16</x:v>
      </x:c>
      <x:c r="F173" s="102" t="n">
        <x:v>1939110</x:v>
      </x:c>
      <x:c r="G173" s="126" t="n">
        <x:f>D173/F173*10000</x:f>
        <x:v>367.8594819272759</x:v>
      </x:c>
      <x:c r="H173" s="127" t="n">
        <x:f>1+COUNTIFS($C$4:$C$802,C173,$G$4:$G$802,"&gt;"&amp;G173)</x:f>
        <x:v>12</x:v>
      </x:c>
      <x:c r="I173" s="128" t="n">
        <x:f>D173/SUMIF($C$4:$C$802,C173,$D$4:$D$802)</x:f>
        <x:v>0.013627704903218879</x:v>
      </x:c>
      <x:c r="J173" s="103" t="n">
        <x:f>(D173/SUMIF($A$4:$A$802,A173,$D$4:$D$802))/(SUMIF($C$4:$C$802,C173,$D$4:$D$802)/SUM($D$4:$D$802))</x:f>
        <x:v>0.8815953971205498</x:v>
      </x:c>
    </x:row>
    <x:row r="174">
      <x:c r="A174" s="101" t="str">
        <x:v>埼玉県</x:v>
      </x:c>
      <x:c r="B174" s="101" t="str">
        <x:v>AB</x:v>
      </x:c>
      <x:c r="C174" s="101" t="str">
        <x:v>農林漁業</x:v>
      </x:c>
      <x:c r="D174" s="102" t="n">
        <x:v>7462</x:v>
      </x:c>
      <x:c r="E174" s="102" t="n">
        <x:f>1+COUNTIFS($C$4:$C$802,C174,$D$4:$D$802,"&gt;"&amp;D174)</x:f>
        <x:v>29</x:v>
      </x:c>
      <x:c r="F174" s="102" t="n">
        <x:v>7344765</x:v>
      </x:c>
      <x:c r="G174" s="126" t="n">
        <x:f>D174/F174*10000</x:f>
        <x:v>10.159617087816969</x:v>
      </x:c>
      <x:c r="H174" s="127" t="n">
        <x:f>1+COUNTIFS($C$4:$C$802,C174,$G$4:$G$802,"&gt;"&amp;G174)</x:f>
        <x:v>44</x:v>
      </x:c>
      <x:c r="I174" s="128" t="n">
        <x:f>D174/SUMIF($C$4:$C$802,C174,$D$4:$D$802)</x:f>
        <x:v>0.016446882652307787</x:v>
      </x:c>
      <x:c r="J174" s="103" t="n">
        <x:f>(D174/SUMIF($A$4:$A$802,A174,$D$4:$D$802))/(SUMIF($C$4:$C$802,C174,$D$4:$D$802)/SUM($D$4:$D$802))</x:f>
        <x:v>0.3662921426160366</x:v>
      </x:c>
    </x:row>
    <x:row r="175">
      <x:c r="A175" s="101" t="str">
        <x:v>埼玉県</x:v>
      </x:c>
      <x:c r="B175" s="101" t="str">
        <x:v>C</x:v>
      </x:c>
      <x:c r="C175" s="101" t="str">
        <x:v>鉱業，採石業，砂利採取業</x:v>
      </x:c>
      <x:c r="D175" s="102" t="n">
        <x:v>421</x:v>
      </x:c>
      <x:c r="E175" s="102" t="n">
        <x:f>1+COUNTIFS($C$4:$C$802,C175,$D$4:$D$802,"&gt;"&amp;D175)</x:f>
        <x:v>19</x:v>
      </x:c>
      <x:c r="F175" s="102" t="n">
        <x:v>7344765</x:v>
      </x:c>
      <x:c r="G175" s="126" t="n">
        <x:f>D175/F175*10000</x:f>
        <x:v>0.5731973725503811</x:v>
      </x:c>
      <x:c r="H175" s="127" t="n">
        <x:f>1+COUNTIFS($C$4:$C$802,C175,$G$4:$G$802,"&gt;"&amp;G175)</x:f>
        <x:v>43</x:v>
      </x:c>
      <x:c r="I175" s="128" t="n">
        <x:f>D175/SUMIF($C$4:$C$802,C175,$D$4:$D$802)</x:f>
        <x:v>0.021373813271056506</x:v>
      </x:c>
      <x:c r="J175" s="103" t="n">
        <x:f>(D175/SUMIF($A$4:$A$802,A175,$D$4:$D$802))/(SUMIF($C$4:$C$802,C175,$D$4:$D$802)/SUM($D$4:$D$802))</x:f>
        <x:v>0.476020898576291</x:v>
      </x:c>
    </x:row>
    <x:row r="176">
      <x:c r="A176" s="101" t="str">
        <x:v>埼玉県</x:v>
      </x:c>
      <x:c r="B176" s="101" t="str">
        <x:v>D</x:v>
      </x:c>
      <x:c r="C176" s="101" t="str">
        <x:v>建設業</x:v>
      </x:c>
      <x:c r="D176" s="102" t="n">
        <x:v>167346</x:v>
      </x:c>
      <x:c r="E176" s="102" t="n">
        <x:f>1+COUNTIFS($C$4:$C$802,C176,$D$4:$D$802,"&gt;"&amp;D176)</x:f>
        <x:v>6</x:v>
      </x:c>
      <x:c r="F176" s="102" t="n">
        <x:v>7344765</x:v>
      </x:c>
      <x:c r="G176" s="126" t="n">
        <x:f>D176/F176*10000</x:f>
        <x:v>227.84391331785292</x:v>
      </x:c>
      <x:c r="H176" s="127" t="n">
        <x:f>1+COUNTIFS($C$4:$C$802,C176,$G$4:$G$802,"&gt;"&amp;G176)</x:f>
        <x:v>42</x:v>
      </x:c>
      <x:c r="I176" s="128" t="n">
        <x:f>D176/SUMIF($C$4:$C$802,C176,$D$4:$D$802)</x:f>
        <x:v>0.04477586781237834</x:v>
      </x:c>
      <x:c r="J176" s="103" t="n">
        <x:f>(D176/SUMIF($A$4:$A$802,A176,$D$4:$D$802))/(SUMIF($C$4:$C$802,C176,$D$4:$D$802)/SUM($D$4:$D$802))</x:f>
        <x:v>0.9972132047885156</x:v>
      </x:c>
    </x:row>
    <x:row r="177">
      <x:c r="A177" s="101" t="str">
        <x:v>埼玉県</x:v>
      </x:c>
      <x:c r="B177" s="101" t="str">
        <x:v>E</x:v>
      </x:c>
      <x:c r="C177" s="101" t="str">
        <x:v>製造業</x:v>
      </x:c>
      <x:c r="D177" s="102" t="n">
        <x:v>453626</x:v>
      </x:c>
      <x:c r="E177" s="102" t="n">
        <x:f>1+COUNTIFS($C$4:$C$802,C177,$D$4:$D$802,"&gt;"&amp;D177)</x:f>
        <x:v>4</x:v>
      </x:c>
      <x:c r="F177" s="102" t="n">
        <x:v>7344765</x:v>
      </x:c>
      <x:c r="G177" s="126" t="n">
        <x:f>D177/F177*10000</x:f>
        <x:v>617.6181266521121</x:v>
      </x:c>
      <x:c r="H177" s="127" t="n">
        <x:f>1+COUNTIFS($C$4:$C$802,C177,$G$4:$G$802,"&gt;"&amp;G177)</x:f>
        <x:v>32</x:v>
      </x:c>
      <x:c r="I177" s="128" t="n">
        <x:f>D177/SUMIF($C$4:$C$802,C177,$D$4:$D$802)</x:f>
        <x:v>0.051527078051665655</x:v>
      </x:c>
      <x:c r="J177" s="103" t="n">
        <x:f>(D177/SUMIF($A$4:$A$802,A177,$D$4:$D$802))/(SUMIF($C$4:$C$802,C177,$D$4:$D$802)/SUM($D$4:$D$802))</x:f>
        <x:v>1.147570893602747</x:v>
      </x:c>
    </x:row>
    <x:row r="178">
      <x:c r="A178" s="101" t="str">
        <x:v>埼玉県</x:v>
      </x:c>
      <x:c r="B178" s="101" t="str">
        <x:v>F</x:v>
      </x:c>
      <x:c r="C178" s="101" t="str">
        <x:v>電気・ガス・熱供給・水道業</x:v>
      </x:c>
      <x:c r="D178" s="102" t="n">
        <x:v>4457</x:v>
      </x:c>
      <x:c r="E178" s="102" t="n">
        <x:f>1+COUNTIFS($C$4:$C$802,C178,$D$4:$D$802,"&gt;"&amp;D178)</x:f>
        <x:v>13</x:v>
      </x:c>
      <x:c r="F178" s="102" t="n">
        <x:v>7344765</x:v>
      </x:c>
      <x:c r="G178" s="126" t="n">
        <x:f>D178/F178*10000</x:f>
        <x:v>6.068267670919355</x:v>
      </x:c>
      <x:c r="H178" s="127" t="n">
        <x:f>1+COUNTIFS($C$4:$C$802,C178,$G$4:$G$802,"&gt;"&amp;G178)</x:f>
        <x:v>47</x:v>
      </x:c>
      <x:c r="I178" s="128" t="n">
        <x:f>D178/SUMIF($C$4:$C$802,C178,$D$4:$D$802)</x:f>
        <x:v>0.022048093238156014</x:v>
      </x:c>
      <x:c r="J178" s="103" t="n">
        <x:f>(D178/SUMIF($A$4:$A$802,A178,$D$4:$D$802))/(SUMIF($C$4:$C$802,C178,$D$4:$D$802)/SUM($D$4:$D$802))</x:f>
        <x:v>0.49103793609599955</x:v>
      </x:c>
    </x:row>
    <x:row r="179">
      <x:c r="A179" s="101" t="str">
        <x:v>埼玉県</x:v>
      </x:c>
      <x:c r="B179" s="101" t="str">
        <x:v>G</x:v>
      </x:c>
      <x:c r="C179" s="101" t="str">
        <x:v>情報通信業</x:v>
      </x:c>
      <x:c r="D179" s="102" t="n">
        <x:v>24759</x:v>
      </x:c>
      <x:c r="E179" s="102" t="n">
        <x:f>1+COUNTIFS($C$4:$C$802,C179,$D$4:$D$802,"&gt;"&amp;D179)</x:f>
        <x:v>9</x:v>
      </x:c>
      <x:c r="F179" s="102" t="n">
        <x:v>7344765</x:v>
      </x:c>
      <x:c r="G179" s="126" t="n">
        <x:f>D179/F179*10000</x:f>
        <x:v>33.70972386454842</x:v>
      </x:c>
      <x:c r="H179" s="127" t="n">
        <x:f>1+COUNTIFS($C$4:$C$802,C179,$G$4:$G$802,"&gt;"&amp;G179)</x:f>
        <x:v>42</x:v>
      </x:c>
      <x:c r="I179" s="128" t="n">
        <x:f>D179/SUMIF($C$4:$C$802,C179,$D$4:$D$802)</x:f>
        <x:v>0.01246150291996483</x:v>
      </x:c>
      <x:c r="J179" s="103" t="n">
        <x:f>(D179/SUMIF($A$4:$A$802,A179,$D$4:$D$802))/(SUMIF($C$4:$C$802,C179,$D$4:$D$802)/SUM($D$4:$D$802))</x:f>
        <x:v>0.27753287363118795</x:v>
      </x:c>
    </x:row>
    <x:row r="180">
      <x:c r="A180" s="101" t="str">
        <x:v>埼玉県</x:v>
      </x:c>
      <x:c r="B180" s="101" t="str">
        <x:v>H</x:v>
      </x:c>
      <x:c r="C180" s="101" t="str">
        <x:v>運輸業，郵便業</x:v>
      </x:c>
      <x:c r="D180" s="102" t="n">
        <x:v>211523</x:v>
      </x:c>
      <x:c r="E180" s="102" t="n">
        <x:f>1+COUNTIFS($C$4:$C$802,C180,$D$4:$D$802,"&gt;"&amp;D180)</x:f>
        <x:v>5</x:v>
      </x:c>
      <x:c r="F180" s="102" t="n">
        <x:v>7344765</x:v>
      </x:c>
      <x:c r="G180" s="126" t="n">
        <x:f>D180/F180*10000</x:f>
        <x:v>287.99151504506955</x:v>
      </x:c>
      <x:c r="H180" s="127" t="n">
        <x:f>1+COUNTIFS($C$4:$C$802,C180,$G$4:$G$802,"&gt;"&amp;G180)</x:f>
        <x:v>3</x:v>
      </x:c>
      <x:c r="I180" s="128" t="n">
        <x:f>D180/SUMIF($C$4:$C$802,C180,$D$4:$D$802)</x:f>
        <x:v>0.06479027081532523</x:v>
      </x:c>
      <x:c r="J180" s="103" t="n">
        <x:f>(D180/SUMIF($A$4:$A$802,A180,$D$4:$D$802))/(SUMIF($C$4:$C$802,C180,$D$4:$D$802)/SUM($D$4:$D$802))</x:f>
        <x:v>1.442958378151297</x:v>
      </x:c>
    </x:row>
    <x:row r="181">
      <x:c r="A181" s="101" t="str">
        <x:v>埼玉県</x:v>
      </x:c>
      <x:c r="B181" s="101" t="str">
        <x:v>I</x:v>
      </x:c>
      <x:c r="C181" s="101" t="str">
        <x:v>卸売業，小売業</x:v>
      </x:c>
      <x:c r="D181" s="102" t="n">
        <x:v>531109</x:v>
      </x:c>
      <x:c r="E181" s="102" t="n">
        <x:f>1+COUNTIFS($C$4:$C$802,C181,$D$4:$D$802,"&gt;"&amp;D181)</x:f>
        <x:v>5</x:v>
      </x:c>
      <x:c r="F181" s="102" t="n">
        <x:v>7344765</x:v>
      </x:c>
      <x:c r="G181" s="126" t="n">
        <x:f>D181/F181*10000</x:f>
        <x:v>723.1123119664142</x:v>
      </x:c>
      <x:c r="H181" s="127" t="n">
        <x:f>1+COUNTIFS($C$4:$C$802,C181,$G$4:$G$802,"&gt;"&amp;G181)</x:f>
        <x:v>45</x:v>
      </x:c>
      <x:c r="I181" s="128" t="n">
        <x:f>D181/SUMIF($C$4:$C$802,C181,$D$4:$D$802)</x:f>
        <x:v>0.04573824286138972</x:v>
      </x:c>
      <x:c r="J181" s="103" t="n">
        <x:f>(D181/SUMIF($A$4:$A$802,A181,$D$4:$D$802))/(SUMIF($C$4:$C$802,C181,$D$4:$D$802)/SUM($D$4:$D$802))</x:f>
        <x:v>1.0186464712715795</x:v>
      </x:c>
    </x:row>
    <x:row r="182">
      <x:c r="A182" s="101" t="str">
        <x:v>埼玉県</x:v>
      </x:c>
      <x:c r="B182" s="101" t="str">
        <x:v>J</x:v>
      </x:c>
      <x:c r="C182" s="101" t="str">
        <x:v>金融業，保険業</x:v>
      </x:c>
      <x:c r="D182" s="102" t="n">
        <x:v>51910</x:v>
      </x:c>
      <x:c r="E182" s="102" t="n">
        <x:f>1+COUNTIFS($C$4:$C$802,C182,$D$4:$D$802,"&gt;"&amp;D182)</x:f>
        <x:v>6</x:v>
      </x:c>
      <x:c r="F182" s="102" t="n">
        <x:v>7344765</x:v>
      </x:c>
      <x:c r="G182" s="126" t="n">
        <x:f>D182/F182*10000</x:f>
        <x:v>70.67618909522633</x:v>
      </x:c>
      <x:c r="H182" s="127" t="n">
        <x:f>1+COUNTIFS($C$4:$C$802,C182,$G$4:$G$802,"&gt;"&amp;G182)</x:f>
        <x:v>46</x:v>
      </x:c>
      <x:c r="I182" s="128" t="n">
        <x:f>D182/SUMIF($C$4:$C$802,C182,$D$4:$D$802)</x:f>
        <x:v>0.034735512260143625</x:v>
      </x:c>
      <x:c r="J182" s="103" t="n">
        <x:f>(D182/SUMIF($A$4:$A$802,A182,$D$4:$D$802))/(SUMIF($C$4:$C$802,C182,$D$4:$D$802)/SUM($D$4:$D$802))</x:f>
        <x:v>0.7736022369472132</x:v>
      </x:c>
    </x:row>
    <x:row r="183">
      <x:c r="A183" s="101" t="str">
        <x:v>埼玉県</x:v>
      </x:c>
      <x:c r="B183" s="101" t="str">
        <x:v>K</x:v>
      </x:c>
      <x:c r="C183" s="101" t="str">
        <x:v>不動産業，物品賃貸業</x:v>
      </x:c>
      <x:c r="D183" s="102" t="n">
        <x:v>72136</x:v>
      </x:c>
      <x:c r="E183" s="102" t="n">
        <x:f>1+COUNTIFS($C$4:$C$802,C183,$D$4:$D$802,"&gt;"&amp;D183)</x:f>
        <x:v>5</x:v>
      </x:c>
      <x:c r="F183" s="102" t="n">
        <x:v>7344765</x:v>
      </x:c>
      <x:c r="G183" s="126" t="n">
        <x:f>D183/F183*10000</x:f>
        <x:v>98.21417022872753</x:v>
      </x:c>
      <x:c r="H183" s="127" t="n">
        <x:f>1+COUNTIFS($C$4:$C$802,C183,$G$4:$G$802,"&gt;"&amp;G183)</x:f>
        <x:v>16</x:v>
      </x:c>
      <x:c r="I183" s="128" t="n">
        <x:f>D183/SUMIF($C$4:$C$802,C183,$D$4:$D$802)</x:f>
        <x:v>0.044579634122676806</x:v>
      </x:c>
      <x:c r="J183" s="103" t="n">
        <x:f>(D183/SUMIF($A$4:$A$802,A183,$D$4:$D$802))/(SUMIF($C$4:$C$802,C183,$D$4:$D$802)/SUM($D$4:$D$802))</x:f>
        <x:v>0.9928428411047849</x:v>
      </x:c>
    </x:row>
    <x:row r="184">
      <x:c r="A184" s="101" t="str">
        <x:v>埼玉県</x:v>
      </x:c>
      <x:c r="B184" s="101" t="str">
        <x:v>L</x:v>
      </x:c>
      <x:c r="C184" s="101" t="str">
        <x:v>学術研究，専門・技術サービス業</x:v>
      </x:c>
      <x:c r="D184" s="102" t="n">
        <x:v>64444</x:v>
      </x:c>
      <x:c r="E184" s="102" t="n">
        <x:f>1+COUNTIFS($C$4:$C$802,C184,$D$4:$D$802,"&gt;"&amp;D184)</x:f>
        <x:v>7</x:v>
      </x:c>
      <x:c r="F184" s="102" t="n">
        <x:v>7344765</x:v>
      </x:c>
      <x:c r="G184" s="126" t="n">
        <x:f>D184/F184*10000</x:f>
        <x:v>87.74140493262888</x:v>
      </x:c>
      <x:c r="H184" s="127" t="n">
        <x:f>1+COUNTIFS($C$4:$C$802,C184,$G$4:$G$802,"&gt;"&amp;G184)</x:f>
        <x:v>42</x:v>
      </x:c>
      <x:c r="I184" s="128" t="n">
        <x:f>D184/SUMIF($C$4:$C$802,C184,$D$4:$D$802)</x:f>
        <x:v>0.030413606931833197</x:v>
      </x:c>
      <x:c r="J184" s="103" t="n">
        <x:f>(D184/SUMIF($A$4:$A$802,A184,$D$4:$D$802))/(SUMIF($C$4:$C$802,C184,$D$4:$D$802)/SUM($D$4:$D$802))</x:f>
        <x:v>0.6773481323635486</x:v>
      </x:c>
    </x:row>
    <x:row r="185">
      <x:c r="A185" s="101" t="str">
        <x:v>埼玉県</x:v>
      </x:c>
      <x:c r="B185" s="101" t="str">
        <x:v>M</x:v>
      </x:c>
      <x:c r="C185" s="101" t="str">
        <x:v>宿泊業，飲食サービス業</x:v>
      </x:c>
      <x:c r="D185" s="102" t="n">
        <x:v>205396</x:v>
      </x:c>
      <x:c r="E185" s="102" t="n">
        <x:f>1+COUNTIFS($C$4:$C$802,C185,$D$4:$D$802,"&gt;"&amp;D185)</x:f>
        <x:v>5</x:v>
      </x:c>
      <x:c r="F185" s="102" t="n">
        <x:v>7344765</x:v>
      </x:c>
      <x:c r="G185" s="126" t="n">
        <x:f>D185/F185*10000</x:f>
        <x:v>279.64951907923535</x:v>
      </x:c>
      <x:c r="H185" s="127" t="n">
        <x:f>1+COUNTIFS($C$4:$C$802,C185,$G$4:$G$802,"&gt;"&amp;G185)</x:f>
        <x:v>47</x:v>
      </x:c>
      <x:c r="I185" s="128" t="n">
        <x:f>D185/SUMIF($C$4:$C$802,C185,$D$4:$D$802)</x:f>
        <x:v>0.04389986276216733</x:v>
      </x:c>
      <x:c r="J185" s="103" t="n">
        <x:f>(D185/SUMIF($A$4:$A$802,A185,$D$4:$D$802))/(SUMIF($C$4:$C$802,C185,$D$4:$D$802)/SUM($D$4:$D$802))</x:f>
        <x:v>0.9777035035540853</x:v>
      </x:c>
    </x:row>
    <x:row r="186">
      <x:c r="A186" s="101" t="str">
        <x:v>埼玉県</x:v>
      </x:c>
      <x:c r="B186" s="101" t="str">
        <x:v>N</x:v>
      </x:c>
      <x:c r="C186" s="101" t="str">
        <x:v>生活関連サービス業，娯楽業</x:v>
      </x:c>
      <x:c r="D186" s="102" t="n">
        <x:v>102685</x:v>
      </x:c>
      <x:c r="E186" s="102" t="n">
        <x:f>1+COUNTIFS($C$4:$C$802,C186,$D$4:$D$802,"&gt;"&amp;D186)</x:f>
        <x:v>6</x:v>
      </x:c>
      <x:c r="F186" s="102" t="n">
        <x:v>7344765</x:v>
      </x:c>
      <x:c r="G186" s="126" t="n">
        <x:f>D186/F186*10000</x:f>
        <x:v>139.80705985828</x:v>
      </x:c>
      <x:c r="H186" s="127" t="n">
        <x:f>1+COUNTIFS($C$4:$C$802,C186,$G$4:$G$802,"&gt;"&amp;G186)</x:f>
        <x:v>47</x:v>
      </x:c>
      <x:c r="I186" s="128" t="n">
        <x:f>D186/SUMIF($C$4:$C$802,C186,$D$4:$D$802)</x:f>
        <x:v>0.04718678356483662</x:v>
      </x:c>
      <x:c r="J186" s="103" t="n">
        <x:f>(D186/SUMIF($A$4:$A$802,A186,$D$4:$D$802))/(SUMIF($C$4:$C$802,C186,$D$4:$D$802)/SUM($D$4:$D$802))</x:f>
        <x:v>1.0509072400232586</x:v>
      </x:c>
    </x:row>
    <x:row r="187">
      <x:c r="A187" s="101" t="str">
        <x:v>埼玉県</x:v>
      </x:c>
      <x:c r="B187" s="101" t="str">
        <x:v>O</x:v>
      </x:c>
      <x:c r="C187" s="101" t="str">
        <x:v>教育，学習支援業</x:v>
      </x:c>
      <x:c r="D187" s="102" t="n">
        <x:v>83899</x:v>
      </x:c>
      <x:c r="E187" s="102" t="n">
        <x:f>1+COUNTIFS($C$4:$C$802,C187,$D$4:$D$802,"&gt;"&amp;D187)</x:f>
        <x:v>6</x:v>
      </x:c>
      <x:c r="F187" s="102" t="n">
        <x:v>7344765</x:v>
      </x:c>
      <x:c r="G187" s="126" t="n">
        <x:f>D187/F187*10000</x:f>
        <x:v>114.22965881141194</x:v>
      </x:c>
      <x:c r="H187" s="127" t="n">
        <x:f>1+COUNTIFS($C$4:$C$802,C187,$G$4:$G$802,"&gt;"&amp;G187)</x:f>
        <x:v>39</x:v>
      </x:c>
      <x:c r="I187" s="128" t="n">
        <x:f>D187/SUMIF($C$4:$C$802,C187,$D$4:$D$802)</x:f>
        <x:v>0.04300893919929626</x:v>
      </x:c>
      <x:c r="J187" s="103" t="n">
        <x:f>(D187/SUMIF($A$4:$A$802,A187,$D$4:$D$802))/(SUMIF($C$4:$C$802,C187,$D$4:$D$802)/SUM($D$4:$D$802))</x:f>
        <x:v>0.9578615488414477</x:v>
      </x:c>
    </x:row>
    <x:row r="188">
      <x:c r="A188" s="101" t="str">
        <x:v>埼玉県</x:v>
      </x:c>
      <x:c r="B188" s="101" t="str">
        <x:v>P</x:v>
      </x:c>
      <x:c r="C188" s="101" t="str">
        <x:v>医療，福祉</x:v>
      </x:c>
      <x:c r="D188" s="102" t="n">
        <x:v>391310</x:v>
      </x:c>
      <x:c r="E188" s="102" t="n">
        <x:f>1+COUNTIFS($C$4:$C$802,C188,$D$4:$D$802,"&gt;"&amp;D188)</x:f>
        <x:v>6</x:v>
      </x:c>
      <x:c r="F188" s="102" t="n">
        <x:v>7344765</x:v>
      </x:c>
      <x:c r="G188" s="126" t="n">
        <x:f>D188/F188*10000</x:f>
        <x:v>532.7740234030632</x:v>
      </x:c>
      <x:c r="H188" s="127" t="n">
        <x:f>1+COUNTIFS($C$4:$C$802,C188,$G$4:$G$802,"&gt;"&amp;G188)</x:f>
        <x:v>47</x:v>
      </x:c>
      <x:c r="I188" s="128" t="n">
        <x:f>D188/SUMIF($C$4:$C$802,C188,$D$4:$D$802)</x:f>
        <x:v>0.04794056844569451</x:v>
      </x:c>
      <x:c r="J188" s="103" t="n">
        <x:f>(D188/SUMIF($A$4:$A$802,A188,$D$4:$D$802))/(SUMIF($C$4:$C$802,C188,$D$4:$D$802)/SUM($D$4:$D$802))</x:f>
        <x:v>1.067694948971998</x:v>
      </x:c>
    </x:row>
    <x:row r="189">
      <x:c r="A189" s="101" t="str">
        <x:v>埼玉県</x:v>
      </x:c>
      <x:c r="B189" s="101" t="str">
        <x:v>Q</x:v>
      </x:c>
      <x:c r="C189" s="101" t="str">
        <x:v>複合サービス事業</x:v>
      </x:c>
      <x:c r="D189" s="102" t="n">
        <x:v>17711</x:v>
      </x:c>
      <x:c r="E189" s="102" t="n">
        <x:f>1+COUNTIFS($C$4:$C$802,C189,$D$4:$D$802,"&gt;"&amp;D189)</x:f>
        <x:v>5</x:v>
      </x:c>
      <x:c r="F189" s="102" t="n">
        <x:v>7344765</x:v>
      </x:c>
      <x:c r="G189" s="126" t="n">
        <x:f>D189/F189*10000</x:f>
        <x:v>24.11377355163848</x:v>
      </x:c>
      <x:c r="H189" s="127" t="n">
        <x:f>1+COUNTIFS($C$4:$C$802,C189,$G$4:$G$802,"&gt;"&amp;G189)</x:f>
        <x:v>44</x:v>
      </x:c>
      <x:c r="I189" s="128" t="n">
        <x:f>D189/SUMIF($C$4:$C$802,C189,$D$4:$D$802)</x:f>
        <x:v>0.04062435488680414</x:v>
      </x:c>
      <x:c r="J189" s="103" t="n">
        <x:f>(D189/SUMIF($A$4:$A$802,A189,$D$4:$D$802))/(SUMIF($C$4:$C$802,C189,$D$4:$D$802)/SUM($D$4:$D$802))</x:f>
        <x:v>0.9047539469003122</x:v>
      </x:c>
    </x:row>
    <x:row r="190">
      <x:c r="A190" s="101" t="str">
        <x:v>埼玉県</x:v>
      </x:c>
      <x:c r="B190" s="101" t="str">
        <x:v>R</x:v>
      </x:c>
      <x:c r="C190" s="101" t="str">
        <x:v>サービス業（他に分類されないもの）</x:v>
      </x:c>
      <x:c r="D190" s="102" t="n">
        <x:v>211815</x:v>
      </x:c>
      <x:c r="E190" s="102" t="n">
        <x:f>1+COUNTIFS($C$4:$C$802,C190,$D$4:$D$802,"&gt;"&amp;D190)</x:f>
        <x:v>6</x:v>
      </x:c>
      <x:c r="F190" s="102" t="n">
        <x:v>7344765</x:v>
      </x:c>
      <x:c r="G190" s="126" t="n">
        <x:f>D190/F190*10000</x:f>
        <x:v>288.38907711819235</x:v>
      </x:c>
      <x:c r="H190" s="127" t="n">
        <x:f>1+COUNTIFS($C$4:$C$802,C190,$G$4:$G$802,"&gt;"&amp;G190)</x:f>
        <x:v>41</x:v>
      </x:c>
      <x:c r="I190" s="128" t="n">
        <x:f>D190/SUMIF($C$4:$C$802,C190,$D$4:$D$802)</x:f>
        <x:v>0.04046644302802819</x:v>
      </x:c>
      <x:c r="J190" s="103" t="n">
        <x:f>(D190/SUMIF($A$4:$A$802,A190,$D$4:$D$802))/(SUMIF($C$4:$C$802,C190,$D$4:$D$802)/SUM($D$4:$D$802))</x:f>
        <x:v>0.901237057145681</x:v>
      </x:c>
    </x:row>
    <x:row r="191">
      <x:c r="A191" s="101" t="str">
        <x:v>千葉県</x:v>
      </x:c>
      <x:c r="B191" s="101" t="str">
        <x:v>AB</x:v>
      </x:c>
      <x:c r="C191" s="101" t="str">
        <x:v>農林漁業</x:v>
      </x:c>
      <x:c r="D191" s="102" t="n">
        <x:v>13540</x:v>
      </x:c>
      <x:c r="E191" s="102" t="n">
        <x:f>1+COUNTIFS($C$4:$C$802,C191,$D$4:$D$802,"&gt;"&amp;D191)</x:f>
        <x:v>6</x:v>
      </x:c>
      <x:c r="F191" s="102" t="n">
        <x:v>6284480</x:v>
      </x:c>
      <x:c r="G191" s="126" t="n">
        <x:f>D191/F191*10000</x:f>
        <x:v>21.54513977290086</x:v>
      </x:c>
      <x:c r="H191" s="127" t="n">
        <x:f>1+COUNTIFS($C$4:$C$802,C191,$G$4:$G$802,"&gt;"&amp;G191)</x:f>
        <x:v>40</x:v>
      </x:c>
      <x:c r="I191" s="128" t="n">
        <x:f>D191/SUMIF($C$4:$C$802,C191,$D$4:$D$802)</x:f>
        <x:v>0.029843311593707778</x:v>
      </x:c>
      <x:c r="J191" s="103" t="n">
        <x:f>(D191/SUMIF($A$4:$A$802,A191,$D$4:$D$802))/(SUMIF($C$4:$C$802,C191,$D$4:$D$802)/SUM($D$4:$D$802))</x:f>
        <x:v>0.8038619616256126</x:v>
      </x:c>
    </x:row>
    <x:row r="192">
      <x:c r="A192" s="101" t="str">
        <x:v>千葉県</x:v>
      </x:c>
      <x:c r="B192" s="101" t="str">
        <x:v>C</x:v>
      </x:c>
      <x:c r="C192" s="101" t="str">
        <x:v>鉱業，採石業，砂利採取業</x:v>
      </x:c>
      <x:c r="D192" s="102" t="n">
        <x:v>881</x:v>
      </x:c>
      <x:c r="E192" s="102" t="n">
        <x:f>1+COUNTIFS($C$4:$C$802,C192,$D$4:$D$802,"&gt;"&amp;D192)</x:f>
        <x:v>4</x:v>
      </x:c>
      <x:c r="F192" s="102" t="n">
        <x:v>6284480</x:v>
      </x:c>
      <x:c r="G192" s="126" t="n">
        <x:f>D192/F192*10000</x:f>
        <x:v>1.4018661846326188</x:v>
      </x:c>
      <x:c r="H192" s="127" t="n">
        <x:f>1+COUNTIFS($C$4:$C$802,C192,$G$4:$G$802,"&gt;"&amp;G192)</x:f>
        <x:v>29</x:v>
      </x:c>
      <x:c r="I192" s="128" t="n">
        <x:f>D192/SUMIF($C$4:$C$802,C192,$D$4:$D$802)</x:f>
        <x:v>0.044727623495963854</x:v>
      </x:c>
      <x:c r="J192" s="103" t="n">
        <x:f>(D192/SUMIF($A$4:$A$802,A192,$D$4:$D$802))/(SUMIF($C$4:$C$802,C192,$D$4:$D$802)/SUM($D$4:$D$802))</x:f>
        <x:v>1.2047870441395025</x:v>
      </x:c>
    </x:row>
    <x:row r="193">
      <x:c r="A193" s="101" t="str">
        <x:v>千葉県</x:v>
      </x:c>
      <x:c r="B193" s="101" t="str">
        <x:v>D</x:v>
      </x:c>
      <x:c r="C193" s="101" t="str">
        <x:v>建設業</x:v>
      </x:c>
      <x:c r="D193" s="102" t="n">
        <x:v>146352</x:v>
      </x:c>
      <x:c r="E193" s="102" t="n">
        <x:f>1+COUNTIFS($C$4:$C$802,C193,$D$4:$D$802,"&gt;"&amp;D193)</x:f>
        <x:v>8</x:v>
      </x:c>
      <x:c r="F193" s="102" t="n">
        <x:v>6284480</x:v>
      </x:c>
      <x:c r="G193" s="126" t="n">
        <x:f>D193/F193*10000</x:f>
        <x:v>232.87845613320434</x:v>
      </x:c>
      <x:c r="H193" s="127" t="n">
        <x:f>1+COUNTIFS($C$4:$C$802,C193,$G$4:$G$802,"&gt;"&amp;G193)</x:f>
        <x:v>41</x:v>
      </x:c>
      <x:c r="I193" s="128" t="n">
        <x:f>D193/SUMIF($C$4:$C$802,C193,$D$4:$D$802)</x:f>
        <x:v>0.0391586163163577</x:v>
      </x:c>
      <x:c r="J193" s="103" t="n">
        <x:f>(D193/SUMIF($A$4:$A$802,A193,$D$4:$D$802))/(SUMIF($C$4:$C$802,C193,$D$4:$D$802)/SUM($D$4:$D$802))</x:f>
        <x:v>1.0547797963966212</x:v>
      </x:c>
    </x:row>
    <x:row r="194">
      <x:c r="A194" s="101" t="str">
        <x:v>千葉県</x:v>
      </x:c>
      <x:c r="B194" s="101" t="str">
        <x:v>E</x:v>
      </x:c>
      <x:c r="C194" s="101" t="str">
        <x:v>製造業</x:v>
      </x:c>
      <x:c r="D194" s="102" t="n">
        <x:v>237440</x:v>
      </x:c>
      <x:c r="E194" s="102" t="n">
        <x:f>1+COUNTIFS($C$4:$C$802,C194,$D$4:$D$802,"&gt;"&amp;D194)</x:f>
        <x:v>10</x:v>
      </x:c>
      <x:c r="F194" s="102" t="n">
        <x:v>6284480</x:v>
      </x:c>
      <x:c r="G194" s="126" t="n">
        <x:f>D194/F194*10000</x:f>
        <x:v>377.8196445847548</x:v>
      </x:c>
      <x:c r="H194" s="127" t="n">
        <x:f>1+COUNTIFS($C$4:$C$802,C194,$G$4:$G$802,"&gt;"&amp;G194)</x:f>
        <x:v>45</x:v>
      </x:c>
      <x:c r="I194" s="128" t="n">
        <x:f>D194/SUMIF($C$4:$C$802,C194,$D$4:$D$802)</x:f>
        <x:v>0.026970652944468557</x:v>
      </x:c>
      <x:c r="J194" s="103" t="n">
        <x:f>(D194/SUMIF($A$4:$A$802,A194,$D$4:$D$802))/(SUMIF($C$4:$C$802,C194,$D$4:$D$802)/SUM($D$4:$D$802))</x:f>
        <x:v>0.7264837856277081</x:v>
      </x:c>
    </x:row>
    <x:row r="195">
      <x:c r="A195" s="101" t="str">
        <x:v>千葉県</x:v>
      </x:c>
      <x:c r="B195" s="101" t="str">
        <x:v>F</x:v>
      </x:c>
      <x:c r="C195" s="101" t="str">
        <x:v>電気・ガス・熱供給・水道業</x:v>
      </x:c>
      <x:c r="D195" s="102" t="n">
        <x:v>5424</x:v>
      </x:c>
      <x:c r="E195" s="102" t="n">
        <x:f>1+COUNTIFS($C$4:$C$802,C195,$D$4:$D$802,"&gt;"&amp;D195)</x:f>
        <x:v>9</x:v>
      </x:c>
      <x:c r="F195" s="102" t="n">
        <x:v>6284480</x:v>
      </x:c>
      <x:c r="G195" s="126" t="n">
        <x:f>D195/F195*10000</x:f>
        <x:v>8.630785681552014</x:v>
      </x:c>
      <x:c r="H195" s="127" t="n">
        <x:f>1+COUNTIFS($C$4:$C$802,C195,$G$4:$G$802,"&gt;"&amp;G195)</x:f>
        <x:v>43</x:v>
      </x:c>
      <x:c r="I195" s="128" t="n">
        <x:f>D195/SUMIF($C$4:$C$802,C195,$D$4:$D$802)</x:f>
        <x:v>0.026831693453838505</x:v>
      </x:c>
      <x:c r="J195" s="103" t="n">
        <x:f>(D195/SUMIF($A$4:$A$802,A195,$D$4:$D$802))/(SUMIF($C$4:$C$802,C195,$D$4:$D$802)/SUM($D$4:$D$802))</x:f>
        <x:v>0.7227407610517117</x:v>
      </x:c>
    </x:row>
    <x:row r="196">
      <x:c r="A196" s="101" t="str">
        <x:v>千葉県</x:v>
      </x:c>
      <x:c r="B196" s="101" t="str">
        <x:v>G</x:v>
      </x:c>
      <x:c r="C196" s="101" t="str">
        <x:v>情報通信業</x:v>
      </x:c>
      <x:c r="D196" s="102" t="n">
        <x:v>30444</x:v>
      </x:c>
      <x:c r="E196" s="102" t="n">
        <x:f>1+COUNTIFS($C$4:$C$802,C196,$D$4:$D$802,"&gt;"&amp;D196)</x:f>
        <x:v>7</x:v>
      </x:c>
      <x:c r="F196" s="102" t="n">
        <x:v>6284480</x:v>
      </x:c>
      <x:c r="G196" s="126" t="n">
        <x:f>D196/F196*10000</x:f>
        <x:v>48.44314883649881</x:v>
      </x:c>
      <x:c r="H196" s="127" t="n">
        <x:f>1+COUNTIFS($C$4:$C$802,C196,$G$4:$G$802,"&gt;"&amp;G196)</x:f>
        <x:v>29</x:v>
      </x:c>
      <x:c r="I196" s="128" t="n">
        <x:f>D196/SUMIF($C$4:$C$802,C196,$D$4:$D$802)</x:f>
        <x:v>0.015322831895286935</x:v>
      </x:c>
      <x:c r="J196" s="103" t="n">
        <x:f>(D196/SUMIF($A$4:$A$802,A196,$D$4:$D$802))/(SUMIF($C$4:$C$802,C196,$D$4:$D$802)/SUM($D$4:$D$802))</x:f>
        <x:v>0.4127370940831477</x:v>
      </x:c>
    </x:row>
    <x:row r="197">
      <x:c r="A197" s="101" t="str">
        <x:v>千葉県</x:v>
      </x:c>
      <x:c r="B197" s="101" t="str">
        <x:v>H</x:v>
      </x:c>
      <x:c r="C197" s="101" t="str">
        <x:v>運輸業，郵便業</x:v>
      </x:c>
      <x:c r="D197" s="102" t="n">
        <x:v>174586</x:v>
      </x:c>
      <x:c r="E197" s="102" t="n">
        <x:f>1+COUNTIFS($C$4:$C$802,C197,$D$4:$D$802,"&gt;"&amp;D197)</x:f>
        <x:v>6</x:v>
      </x:c>
      <x:c r="F197" s="102" t="n">
        <x:v>6284480</x:v>
      </x:c>
      <x:c r="G197" s="126" t="n">
        <x:f>D197/F197*10000</x:f>
        <x:v>277.8050053465044</x:v>
      </x:c>
      <x:c r="H197" s="127" t="n">
        <x:f>1+COUNTIFS($C$4:$C$802,C197,$G$4:$G$802,"&gt;"&amp;G197)</x:f>
        <x:v>7</x:v>
      </x:c>
      <x:c r="I197" s="128" t="n">
        <x:f>D197/SUMIF($C$4:$C$802,C197,$D$4:$D$802)</x:f>
        <x:v>0.05347633222185942</x:v>
      </x:c>
      <x:c r="J197" s="103" t="n">
        <x:f>(D197/SUMIF($A$4:$A$802,A197,$D$4:$D$802))/(SUMIF($C$4:$C$802,C197,$D$4:$D$802)/SUM($D$4:$D$802))</x:f>
        <x:v>1.4404430012877814</x:v>
      </x:c>
    </x:row>
    <x:row r="198">
      <x:c r="A198" s="101" t="str">
        <x:v>千葉県</x:v>
      </x:c>
      <x:c r="B198" s="101" t="str">
        <x:v>I</x:v>
      </x:c>
      <x:c r="C198" s="101" t="str">
        <x:v>卸売業，小売業</x:v>
      </x:c>
      <x:c r="D198" s="102" t="n">
        <x:v>446932</x:v>
      </x:c>
      <x:c r="E198" s="102" t="n">
        <x:f>1+COUNTIFS($C$4:$C$802,C198,$D$4:$D$802,"&gt;"&amp;D198)</x:f>
        <x:v>8</x:v>
      </x:c>
      <x:c r="F198" s="102" t="n">
        <x:v>6284480</x:v>
      </x:c>
      <x:c r="G198" s="126" t="n">
        <x:f>D198/F198*10000</x:f>
        <x:v>711.1678293192118</x:v>
      </x:c>
      <x:c r="H198" s="127" t="n">
        <x:f>1+COUNTIFS($C$4:$C$802,C198,$G$4:$G$802,"&gt;"&amp;G198)</x:f>
        <x:v>46</x:v>
      </x:c>
      <x:c r="I198" s="128" t="n">
        <x:f>D198/SUMIF($C$4:$C$802,C198,$D$4:$D$802)</x:f>
        <x:v>0.038489056593894344</x:v>
      </x:c>
      <x:c r="J198" s="103" t="n">
        <x:f>(D198/SUMIF($A$4:$A$802,A198,$D$4:$D$802))/(SUMIF($C$4:$C$802,C198,$D$4:$D$802)/SUM($D$4:$D$802))</x:f>
        <x:v>1.0367444791619758</x:v>
      </x:c>
    </x:row>
    <x:row r="199">
      <x:c r="A199" s="101" t="str">
        <x:v>千葉県</x:v>
      </x:c>
      <x:c r="B199" s="101" t="str">
        <x:v>J</x:v>
      </x:c>
      <x:c r="C199" s="101" t="str">
        <x:v>金融業，保険業</x:v>
      </x:c>
      <x:c r="D199" s="102" t="n">
        <x:v>46780</x:v>
      </x:c>
      <x:c r="E199" s="102" t="n">
        <x:f>1+COUNTIFS($C$4:$C$802,C199,$D$4:$D$802,"&gt;"&amp;D199)</x:f>
        <x:v>8</x:v>
      </x:c>
      <x:c r="F199" s="102" t="n">
        <x:v>6284480</x:v>
      </x:c>
      <x:c r="G199" s="126" t="n">
        <x:f>D199/F199*10000</x:f>
        <x:v>74.4373440602882</x:v>
      </x:c>
      <x:c r="H199" s="127" t="n">
        <x:f>1+COUNTIFS($C$4:$C$802,C199,$G$4:$G$802,"&gt;"&amp;G199)</x:f>
        <x:v>45</x:v>
      </x:c>
      <x:c r="I199" s="128" t="n">
        <x:f>D199/SUMIF($C$4:$C$802,C199,$D$4:$D$802)</x:f>
        <x:v>0.031302779108640315</x:v>
      </x:c>
      <x:c r="J199" s="103" t="n">
        <x:f>(D199/SUMIF($A$4:$A$802,A199,$D$4:$D$802))/(SUMIF($C$4:$C$802,C199,$D$4:$D$802)/SUM($D$4:$D$802))</x:f>
        <x:v>0.8431743018730633</x:v>
      </x:c>
    </x:row>
    <x:row r="200">
      <x:c r="A200" s="101" t="str">
        <x:v>千葉県</x:v>
      </x:c>
      <x:c r="B200" s="101" t="str">
        <x:v>K</x:v>
      </x:c>
      <x:c r="C200" s="101" t="str">
        <x:v>不動産業，物品賃貸業</x:v>
      </x:c>
      <x:c r="D200" s="102" t="n">
        <x:v>58695</x:v>
      </x:c>
      <x:c r="E200" s="102" t="n">
        <x:f>1+COUNTIFS($C$4:$C$802,C200,$D$4:$D$802,"&gt;"&amp;D200)</x:f>
        <x:v>9</x:v>
      </x:c>
      <x:c r="F200" s="102" t="n">
        <x:v>6284480</x:v>
      </x:c>
      <x:c r="G200" s="126" t="n">
        <x:f>D200/F200*10000</x:f>
        <x:v>93.39674881613116</x:v>
      </x:c>
      <x:c r="H200" s="127" t="n">
        <x:f>1+COUNTIFS($C$4:$C$802,C200,$G$4:$G$802,"&gt;"&amp;G200)</x:f>
        <x:v>20</x:v>
      </x:c>
      <x:c r="I200" s="128" t="n">
        <x:f>D200/SUMIF($C$4:$C$802,C200,$D$4:$D$802)</x:f>
        <x:v>0.03627317323985964</x:v>
      </x:c>
      <x:c r="J200" s="103" t="n">
        <x:f>(D200/SUMIF($A$4:$A$802,A200,$D$4:$D$802))/(SUMIF($C$4:$C$802,C200,$D$4:$D$802)/SUM($D$4:$D$802))</x:f>
        <x:v>0.9770572579863125</x:v>
      </x:c>
    </x:row>
    <x:row r="201">
      <x:c r="A201" s="101" t="str">
        <x:v>千葉県</x:v>
      </x:c>
      <x:c r="B201" s="101" t="str">
        <x:v>L</x:v>
      </x:c>
      <x:c r="C201" s="101" t="str">
        <x:v>学術研究，専門・技術サービス業</x:v>
      </x:c>
      <x:c r="D201" s="102" t="n">
        <x:v>60589</x:v>
      </x:c>
      <x:c r="E201" s="102" t="n">
        <x:f>1+COUNTIFS($C$4:$C$802,C201,$D$4:$D$802,"&gt;"&amp;D201)</x:f>
        <x:v>10</x:v>
      </x:c>
      <x:c r="F201" s="102" t="n">
        <x:v>6284480</x:v>
      </x:c>
      <x:c r="G201" s="126" t="n">
        <x:f>D201/F201*10000</x:f>
        <x:v>96.41052242985896</x:v>
      </x:c>
      <x:c r="H201" s="127" t="n">
        <x:f>1+COUNTIFS($C$4:$C$802,C201,$G$4:$G$802,"&gt;"&amp;G201)</x:f>
        <x:v>35</x:v>
      </x:c>
      <x:c r="I201" s="128" t="n">
        <x:f>D201/SUMIF($C$4:$C$802,C201,$D$4:$D$802)</x:f>
        <x:v>0.02859428388046741</x:v>
      </x:c>
      <x:c r="J201" s="103" t="n">
        <x:f>(D201/SUMIF($A$4:$A$802,A201,$D$4:$D$802))/(SUMIF($C$4:$C$802,C201,$D$4:$D$802)/SUM($D$4:$D$802))</x:f>
        <x:v>0.7702180456500862</x:v>
      </x:c>
    </x:row>
    <x:row r="202">
      <x:c r="A202" s="101" t="str">
        <x:v>千葉県</x:v>
      </x:c>
      <x:c r="B202" s="101" t="str">
        <x:v>M</x:v>
      </x:c>
      <x:c r="C202" s="101" t="str">
        <x:v>宿泊業，飲食サービス業</x:v>
      </x:c>
      <x:c r="D202" s="102" t="n">
        <x:v>191703</x:v>
      </x:c>
      <x:c r="E202" s="102" t="n">
        <x:f>1+COUNTIFS($C$4:$C$802,C202,$D$4:$D$802,"&gt;"&amp;D202)</x:f>
        <x:v>8</x:v>
      </x:c>
      <x:c r="F202" s="102" t="n">
        <x:v>6284480</x:v>
      </x:c>
      <x:c r="G202" s="126" t="n">
        <x:f>D202/F202*10000</x:f>
        <x:v>305.04194460003055</x:v>
      </x:c>
      <x:c r="H202" s="127" t="n">
        <x:f>1+COUNTIFS($C$4:$C$802,C202,$G$4:$G$802,"&gt;"&amp;G202)</x:f>
        <x:v>41</x:v>
      </x:c>
      <x:c r="I202" s="128" t="n">
        <x:f>D202/SUMIF($C$4:$C$802,C202,$D$4:$D$802)</x:f>
        <x:v>0.040973219493543024</x:v>
      </x:c>
      <x:c r="J202" s="103" t="n">
        <x:f>(D202/SUMIF($A$4:$A$802,A202,$D$4:$D$802))/(SUMIF($C$4:$C$802,C202,$D$4:$D$802)/SUM($D$4:$D$802))</x:f>
        <x:v>1.1036581008369308</x:v>
      </x:c>
    </x:row>
    <x:row r="203">
      <x:c r="A203" s="101" t="str">
        <x:v>千葉県</x:v>
      </x:c>
      <x:c r="B203" s="101" t="str">
        <x:v>N</x:v>
      </x:c>
      <x:c r="C203" s="101" t="str">
        <x:v>生活関連サービス業，娯楽業</x:v>
      </x:c>
      <x:c r="D203" s="102" t="n">
        <x:v>118788</x:v>
      </x:c>
      <x:c r="E203" s="102" t="n">
        <x:f>1+COUNTIFS($C$4:$C$802,C203,$D$4:$D$802,"&gt;"&amp;D203)</x:f>
        <x:v>5</x:v>
      </x:c>
      <x:c r="F203" s="102" t="n">
        <x:v>6284480</x:v>
      </x:c>
      <x:c r="G203" s="126" t="n">
        <x:f>D203/F203*10000</x:f>
        <x:v>189.0180253577066</x:v>
      </x:c>
      <x:c r="H203" s="127" t="n">
        <x:f>1+COUNTIFS($C$4:$C$802,C203,$G$4:$G$802,"&gt;"&amp;G203)</x:f>
        <x:v>4</x:v>
      </x:c>
      <x:c r="I203" s="128" t="n">
        <x:f>D203/SUMIF($C$4:$C$802,C203,$D$4:$D$802)</x:f>
        <x:v>0.05458658661050604</x:v>
      </x:c>
      <x:c r="J203" s="103" t="n">
        <x:f>(D203/SUMIF($A$4:$A$802,A203,$D$4:$D$802))/(SUMIF($C$4:$C$802,C203,$D$4:$D$802)/SUM($D$4:$D$802))</x:f>
        <x:v>1.4703489072713882</x:v>
      </x:c>
    </x:row>
    <x:row r="204">
      <x:c r="A204" s="101" t="str">
        <x:v>千葉県</x:v>
      </x:c>
      <x:c r="B204" s="101" t="str">
        <x:v>O</x:v>
      </x:c>
      <x:c r="C204" s="101" t="str">
        <x:v>教育，学習支援業</x:v>
      </x:c>
      <x:c r="D204" s="102" t="n">
        <x:v>79343</x:v>
      </x:c>
      <x:c r="E204" s="102" t="n">
        <x:f>1+COUNTIFS($C$4:$C$802,C204,$D$4:$D$802,"&gt;"&amp;D204)</x:f>
        <x:v>7</x:v>
      </x:c>
      <x:c r="F204" s="102" t="n">
        <x:v>6284480</x:v>
      </x:c>
      <x:c r="G204" s="126" t="n">
        <x:f>D204/F204*10000</x:f>
        <x:v>126.2522913590305</x:v>
      </x:c>
      <x:c r="H204" s="127" t="n">
        <x:f>1+COUNTIFS($C$4:$C$802,C204,$G$4:$G$802,"&gt;"&amp;G204)</x:f>
        <x:v>29</x:v>
      </x:c>
      <x:c r="I204" s="128" t="n">
        <x:f>D204/SUMIF($C$4:$C$802,C204,$D$4:$D$802)</x:f>
        <x:v>0.04067340806076072</x:v>
      </x:c>
      <x:c r="J204" s="103" t="n">
        <x:f>(D204/SUMIF($A$4:$A$802,A204,$D$4:$D$802))/(SUMIF($C$4:$C$802,C204,$D$4:$D$802)/SUM($D$4:$D$802))</x:f>
        <x:v>1.0955823547617203</x:v>
      </x:c>
    </x:row>
    <x:row r="205">
      <x:c r="A205" s="101" t="str">
        <x:v>千葉県</x:v>
      </x:c>
      <x:c r="B205" s="101" t="str">
        <x:v>P</x:v>
      </x:c>
      <x:c r="C205" s="101" t="str">
        <x:v>医療，福祉</x:v>
      </x:c>
      <x:c r="D205" s="102" t="n">
        <x:v>335058</x:v>
      </x:c>
      <x:c r="E205" s="102" t="n">
        <x:f>1+COUNTIFS($C$4:$C$802,C205,$D$4:$D$802,"&gt;"&amp;D205)</x:f>
        <x:v>9</x:v>
      </x:c>
      <x:c r="F205" s="102" t="n">
        <x:v>6284480</x:v>
      </x:c>
      <x:c r="G205" s="126" t="n">
        <x:f>D205/F205*10000</x:f>
        <x:v>533.1515097510057</x:v>
      </x:c>
      <x:c r="H205" s="127" t="n">
        <x:f>1+COUNTIFS($C$4:$C$802,C205,$G$4:$G$802,"&gt;"&amp;G205)</x:f>
        <x:v>46</x:v>
      </x:c>
      <x:c r="I205" s="128" t="n">
        <x:f>D205/SUMIF($C$4:$C$802,C205,$D$4:$D$802)</x:f>
        <x:v>0.04104896624741896</x:v>
      </x:c>
      <x:c r="J205" s="103" t="n">
        <x:f>(D205/SUMIF($A$4:$A$802,A205,$D$4:$D$802))/(SUMIF($C$4:$C$802,C205,$D$4:$D$802)/SUM($D$4:$D$802))</x:f>
        <x:v>1.1056984217968313</x:v>
      </x:c>
    </x:row>
    <x:row r="206">
      <x:c r="A206" s="101" t="str">
        <x:v>千葉県</x:v>
      </x:c>
      <x:c r="B206" s="101" t="str">
        <x:v>Q</x:v>
      </x:c>
      <x:c r="C206" s="101" t="str">
        <x:v>複合サービス事業</x:v>
      </x:c>
      <x:c r="D206" s="102" t="n">
        <x:v>15655</x:v>
      </x:c>
      <x:c r="E206" s="102" t="n">
        <x:f>1+COUNTIFS($C$4:$C$802,C206,$D$4:$D$802,"&gt;"&amp;D206)</x:f>
        <x:v>8</x:v>
      </x:c>
      <x:c r="F206" s="102" t="n">
        <x:v>6284480</x:v>
      </x:c>
      <x:c r="G206" s="126" t="n">
        <x:f>D206/F206*10000</x:f>
        <x:v>24.91057334894852</x:v>
      </x:c>
      <x:c r="H206" s="127" t="n">
        <x:f>1+COUNTIFS($C$4:$C$802,C206,$G$4:$G$802,"&gt;"&amp;G206)</x:f>
        <x:v>43</x:v>
      </x:c>
      <x:c r="I206" s="128" t="n">
        <x:f>D206/SUMIF($C$4:$C$802,C206,$D$4:$D$802)</x:f>
        <x:v>0.035908434066564215</x:v>
      </x:c>
      <x:c r="J206" s="103" t="n">
        <x:f>(D206/SUMIF($A$4:$A$802,A206,$D$4:$D$802))/(SUMIF($C$4:$C$802,C206,$D$4:$D$802)/SUM($D$4:$D$802))</x:f>
        <x:v>0.9672326128089058</x:v>
      </x:c>
    </x:row>
    <x:row r="207">
      <x:c r="A207" s="101" t="str">
        <x:v>千葉県</x:v>
      </x:c>
      <x:c r="B207" s="101" t="str">
        <x:v>R</x:v>
      </x:c>
      <x:c r="C207" s="101" t="str">
        <x:v>サービス業（他に分類されないもの）</x:v>
      </x:c>
      <x:c r="D207" s="102" t="n">
        <x:v>189176</x:v>
      </x:c>
      <x:c r="E207" s="102" t="n">
        <x:f>1+COUNTIFS($C$4:$C$802,C207,$D$4:$D$802,"&gt;"&amp;D207)</x:f>
        <x:v>8</x:v>
      </x:c>
      <x:c r="F207" s="102" t="n">
        <x:v>6284480</x:v>
      </x:c>
      <x:c r="G207" s="126" t="n">
        <x:f>D207/F207*10000</x:f>
        <x:v>301.0209277458119</x:v>
      </x:c>
      <x:c r="H207" s="127" t="n">
        <x:f>1+COUNTIFS($C$4:$C$802,C207,$G$4:$G$802,"&gt;"&amp;G207)</x:f>
        <x:v>38</x:v>
      </x:c>
      <x:c r="I207" s="128" t="n">
        <x:f>D207/SUMIF($C$4:$C$802,C207,$D$4:$D$802)</x:f>
        <x:v>0.03614134894256904</x:v>
      </x:c>
      <x:c r="J207" s="103" t="n">
        <x:f>(D207/SUMIF($A$4:$A$802,A207,$D$4:$D$802))/(SUMIF($C$4:$C$802,C207,$D$4:$D$802)/SUM($D$4:$D$802))</x:f>
        <x:v>0.9735064275807389</x:v>
      </x:c>
    </x:row>
    <x:row r="208">
      <x:c r="A208" s="101" t="str">
        <x:v>東京都</x:v>
      </x:c>
      <x:c r="B208" s="101" t="str">
        <x:v>AB</x:v>
      </x:c>
      <x:c r="C208" s="101" t="str">
        <x:v>農林漁業</x:v>
      </x:c>
      <x:c r="D208" s="102" t="n">
        <x:v>4813</x:v>
      </x:c>
      <x:c r="E208" s="102" t="n">
        <x:f>1+COUNTIFS($C$4:$C$802,C208,$D$4:$D$802,"&gt;"&amp;D208)</x:f>
        <x:v>40</x:v>
      </x:c>
      <x:c r="F208" s="102" t="n">
        <x:v>14047594</x:v>
      </x:c>
      <x:c r="G208" s="126" t="n">
        <x:f>D208/F208*10000</x:f>
        <x:v>3.426209498936259</x:v>
      </x:c>
      <x:c r="H208" s="127" t="n">
        <x:f>1+COUNTIFS($C$4:$C$802,C208,$G$4:$G$802,"&gt;"&amp;G208)</x:f>
        <x:v>46</x:v>
      </x:c>
      <x:c r="I208" s="128" t="n">
        <x:f>D208/SUMIF($C$4:$C$802,C208,$D$4:$D$802)</x:f>
        <x:v>0.010608261351589035</x:v>
      </x:c>
      <x:c r="J208" s="103" t="n">
        <x:f>(D208/SUMIF($A$4:$A$802,A208,$D$4:$D$802))/(SUMIF($C$4:$C$802,C208,$D$4:$D$802)/SUM($D$4:$D$802))</x:f>
        <x:v>0.06408924753510896</x:v>
      </x:c>
    </x:row>
    <x:row r="209">
      <x:c r="A209" s="101" t="str">
        <x:v>東京都</x:v>
      </x:c>
      <x:c r="B209" s="101" t="str">
        <x:v>C</x:v>
      </x:c>
      <x:c r="C209" s="101" t="str">
        <x:v>鉱業，採石業，砂利採取業</x:v>
      </x:c>
      <x:c r="D209" s="102" t="n">
        <x:v>1708</x:v>
      </x:c>
      <x:c r="E209" s="102" t="n">
        <x:f>1+COUNTIFS($C$4:$C$802,C209,$D$4:$D$802,"&gt;"&amp;D209)</x:f>
        <x:v>1</x:v>
      </x:c>
      <x:c r="F209" s="102" t="n">
        <x:v>14047594</x:v>
      </x:c>
      <x:c r="G209" s="126" t="n">
        <x:f>D209/F209*10000</x:f>
        <x:v>1.2158665747315875</x:v>
      </x:c>
      <x:c r="H209" s="127" t="n">
        <x:f>1+COUNTIFS($C$4:$C$802,C209,$G$4:$G$802,"&gt;"&amp;G209)</x:f>
        <x:v>32</x:v>
      </x:c>
      <x:c r="I209" s="128" t="n">
        <x:f>D209/SUMIF($C$4:$C$802,C209,$D$4:$D$802)</x:f>
        <x:v>0.08671371274813423</x:v>
      </x:c>
      <x:c r="J209" s="103" t="n">
        <x:f>(D209/SUMIF($A$4:$A$802,A209,$D$4:$D$802))/(SUMIF($C$4:$C$802,C209,$D$4:$D$802)/SUM($D$4:$D$802))</x:f>
        <x:v>0.5238762900737782</x:v>
      </x:c>
    </x:row>
    <x:row r="210">
      <x:c r="A210" s="101" t="str">
        <x:v>東京都</x:v>
      </x:c>
      <x:c r="B210" s="101" t="str">
        <x:v>D</x:v>
      </x:c>
      <x:c r="C210" s="101" t="str">
        <x:v>建設業</x:v>
      </x:c>
      <x:c r="D210" s="102" t="n">
        <x:v>484543</x:v>
      </x:c>
      <x:c r="E210" s="102" t="n">
        <x:f>1+COUNTIFS($C$4:$C$802,C210,$D$4:$D$802,"&gt;"&amp;D210)</x:f>
        <x:v>1</x:v>
      </x:c>
      <x:c r="F210" s="102" t="n">
        <x:v>14047594</x:v>
      </x:c>
      <x:c r="G210" s="126" t="n">
        <x:f>D210/F210*10000</x:f>
        <x:v>344.92953028112856</x:v>
      </x:c>
      <x:c r="H210" s="127" t="n">
        <x:f>1+COUNTIFS($C$4:$C$802,C210,$G$4:$G$802,"&gt;"&amp;G210)</x:f>
        <x:v>12</x:v>
      </x:c>
      <x:c r="I210" s="128" t="n">
        <x:f>D210/SUMIF($C$4:$C$802,C210,$D$4:$D$802)</x:f>
        <x:v>0.12964656052378448</x:v>
      </x:c>
      <x:c r="J210" s="103" t="n">
        <x:f>(D210/SUMIF($A$4:$A$802,A210,$D$4:$D$802))/(SUMIF($C$4:$C$802,C210,$D$4:$D$802)/SUM($D$4:$D$802))</x:f>
        <x:v>0.7832528096830582</x:v>
      </x:c>
    </x:row>
    <x:row r="211">
      <x:c r="A211" s="101" t="str">
        <x:v>東京都</x:v>
      </x:c>
      <x:c r="B211" s="101" t="str">
        <x:v>E</x:v>
      </x:c>
      <x:c r="C211" s="101" t="str">
        <x:v>製造業</x:v>
      </x:c>
      <x:c r="D211" s="102" t="n">
        <x:v>561902</x:v>
      </x:c>
      <x:c r="E211" s="102" t="n">
        <x:f>1+COUNTIFS($C$4:$C$802,C211,$D$4:$D$802,"&gt;"&amp;D211)</x:f>
        <x:v>3</x:v>
      </x:c>
      <x:c r="F211" s="102" t="n">
        <x:v>14047594</x:v>
      </x:c>
      <x:c r="G211" s="126" t="n">
        <x:f>D211/F211*10000</x:f>
        <x:v>399.99874711641013</x:v>
      </x:c>
      <x:c r="H211" s="127" t="n">
        <x:f>1+COUNTIFS($C$4:$C$802,C211,$G$4:$G$802,"&gt;"&amp;G211)</x:f>
        <x:v>43</x:v>
      </x:c>
      <x:c r="I211" s="128" t="n">
        <x:f>D211/SUMIF($C$4:$C$802,C211,$D$4:$D$802)</x:f>
        <x:v>0.0638260774545265</x:v>
      </x:c>
      <x:c r="J211" s="103" t="n">
        <x:f>(D211/SUMIF($A$4:$A$802,A211,$D$4:$D$802))/(SUMIF($C$4:$C$802,C211,$D$4:$D$802)/SUM($D$4:$D$802))</x:f>
        <x:v>0.38560185704375116</x:v>
      </x:c>
    </x:row>
    <x:row r="212">
      <x:c r="A212" s="101" t="str">
        <x:v>東京都</x:v>
      </x:c>
      <x:c r="B212" s="101" t="str">
        <x:v>F</x:v>
      </x:c>
      <x:c r="C212" s="101" t="str">
        <x:v>電気・ガス・熱供給・水道業</x:v>
      </x:c>
      <x:c r="D212" s="102" t="n">
        <x:v>33444</x:v>
      </x:c>
      <x:c r="E212" s="102" t="n">
        <x:f>1+COUNTIFS($C$4:$C$802,C212,$D$4:$D$802,"&gt;"&amp;D212)</x:f>
        <x:v>1</x:v>
      </x:c>
      <x:c r="F212" s="102" t="n">
        <x:v>14047594</x:v>
      </x:c>
      <x:c r="G212" s="126" t="n">
        <x:f>D212/F212*10000</x:f>
        <x:v>23.807635670563943</x:v>
      </x:c>
      <x:c r="H212" s="127" t="n">
        <x:f>1+COUNTIFS($C$4:$C$802,C212,$G$4:$G$802,"&gt;"&amp;G212)</x:f>
        <x:v>5</x:v>
      </x:c>
      <x:c r="I212" s="128" t="n">
        <x:f>D212/SUMIF($C$4:$C$802,C212,$D$4:$D$802)</x:f>
        <x:v>0.16544232224745115</x:v>
      </x:c>
      <x:c r="J212" s="103" t="n">
        <x:f>(D212/SUMIF($A$4:$A$802,A212,$D$4:$D$802))/(SUMIF($C$4:$C$802,C212,$D$4:$D$802)/SUM($D$4:$D$802))</x:f>
        <x:v>0.99951100297052</x:v>
      </x:c>
    </x:row>
    <x:row r="213">
      <x:c r="A213" s="101" t="str">
        <x:v>東京都</x:v>
      </x:c>
      <x:c r="B213" s="101" t="str">
        <x:v>G</x:v>
      </x:c>
      <x:c r="C213" s="101" t="str">
        <x:v>情報通信業</x:v>
      </x:c>
      <x:c r="D213" s="102" t="n">
        <x:v>1085934</x:v>
      </x:c>
      <x:c r="E213" s="102" t="n">
        <x:f>1+COUNTIFS($C$4:$C$802,C213,$D$4:$D$802,"&gt;"&amp;D213)</x:f>
        <x:v>1</x:v>
      </x:c>
      <x:c r="F213" s="102" t="n">
        <x:v>14047594</x:v>
      </x:c>
      <x:c r="G213" s="126" t="n">
        <x:f>D213/F213*10000</x:f>
        <x:v>773.03914107996</x:v>
      </x:c>
      <x:c r="H213" s="127" t="n">
        <x:f>1+COUNTIFS($C$4:$C$802,C213,$G$4:$G$802,"&gt;"&amp;G213)</x:f>
        <x:v>1</x:v>
      </x:c>
      <x:c r="I213" s="128" t="n">
        <x:f>D213/SUMIF($C$4:$C$802,C213,$D$4:$D$802)</x:f>
        <x:v>0.5465636621789687</x:v>
      </x:c>
      <x:c r="J213" s="103" t="n">
        <x:f>(D213/SUMIF($A$4:$A$802,A213,$D$4:$D$802))/(SUMIF($C$4:$C$802,C213,$D$4:$D$802)/SUM($D$4:$D$802))</x:f>
        <x:v>3.302035336246363</x:v>
      </x:c>
    </x:row>
    <x:row r="214">
      <x:c r="A214" s="101" t="str">
        <x:v>東京都</x:v>
      </x:c>
      <x:c r="B214" s="101" t="str">
        <x:v>H</x:v>
      </x:c>
      <x:c r="C214" s="101" t="str">
        <x:v>運輸業，郵便業</x:v>
      </x:c>
      <x:c r="D214" s="102" t="n">
        <x:v>457526</x:v>
      </x:c>
      <x:c r="E214" s="102" t="n">
        <x:f>1+COUNTIFS($C$4:$C$802,C214,$D$4:$D$802,"&gt;"&amp;D214)</x:f>
        <x:v>1</x:v>
      </x:c>
      <x:c r="F214" s="102" t="n">
        <x:v>14047594</x:v>
      </x:c>
      <x:c r="G214" s="126" t="n">
        <x:f>D214/F214*10000</x:f>
        <x:v>325.69705531068166</x:v>
      </x:c>
      <x:c r="H214" s="127" t="n">
        <x:f>1+COUNTIFS($C$4:$C$802,C214,$G$4:$G$802,"&gt;"&amp;G214)</x:f>
        <x:v>1</x:v>
      </x:c>
      <x:c r="I214" s="128" t="n">
        <x:f>D214/SUMIF($C$4:$C$802,C214,$D$4:$D$802)</x:f>
        <x:v>0.14014189211127154</x:v>
      </x:c>
      <x:c r="J214" s="103" t="n">
        <x:f>(D214/SUMIF($A$4:$A$802,A214,$D$4:$D$802))/(SUMIF($C$4:$C$802,C214,$D$4:$D$802)/SUM($D$4:$D$802))</x:f>
        <x:v>0.8466597980462127</x:v>
      </x:c>
    </x:row>
    <x:row r="215">
      <x:c r="A215" s="101" t="str">
        <x:v>東京都</x:v>
      </x:c>
      <x:c r="B215" s="101" t="str">
        <x:v>I</x:v>
      </x:c>
      <x:c r="C215" s="101" t="str">
        <x:v>卸売業，小売業</x:v>
      </x:c>
      <x:c r="D215" s="102" t="n">
        <x:v>1968705</x:v>
      </x:c>
      <x:c r="E215" s="102" t="n">
        <x:f>1+COUNTIFS($C$4:$C$802,C215,$D$4:$D$802,"&gt;"&amp;D215)</x:f>
        <x:v>1</x:v>
      </x:c>
      <x:c r="F215" s="102" t="n">
        <x:v>14047594</x:v>
      </x:c>
      <x:c r="G215" s="126" t="n">
        <x:f>D215/F215*10000</x:f>
        <x:v>1401.4535158120318</x:v>
      </x:c>
      <x:c r="H215" s="127" t="n">
        <x:f>1+COUNTIFS($C$4:$C$802,C215,$G$4:$G$802,"&gt;"&amp;G215)</x:f>
        <x:v>1</x:v>
      </x:c>
      <x:c r="I215" s="128" t="n">
        <x:f>D215/SUMIF($C$4:$C$802,C215,$D$4:$D$802)</x:f>
        <x:v>0.169541671130469</x:v>
      </x:c>
      <x:c r="J215" s="103" t="n">
        <x:f>(D215/SUMIF($A$4:$A$802,A215,$D$4:$D$802))/(SUMIF($C$4:$C$802,C215,$D$4:$D$802)/SUM($D$4:$D$802))</x:f>
        <x:v>1.0242770015247646</x:v>
      </x:c>
    </x:row>
    <x:row r="216">
      <x:c r="A216" s="101" t="str">
        <x:v>東京都</x:v>
      </x:c>
      <x:c r="B216" s="101" t="str">
        <x:v>J</x:v>
      </x:c>
      <x:c r="C216" s="101" t="str">
        <x:v>金融業，保険業</x:v>
      </x:c>
      <x:c r="D216" s="102" t="n">
        <x:v>433956</x:v>
      </x:c>
      <x:c r="E216" s="102" t="n">
        <x:f>1+COUNTIFS($C$4:$C$802,C216,$D$4:$D$802,"&gt;"&amp;D216)</x:f>
        <x:v>1</x:v>
      </x:c>
      <x:c r="F216" s="102" t="n">
        <x:v>14047594</x:v>
      </x:c>
      <x:c r="G216" s="126" t="n">
        <x:f>D216/F216*10000</x:f>
        <x:v>308.9183813256562</x:v>
      </x:c>
      <x:c r="H216" s="127" t="n">
        <x:f>1+COUNTIFS($C$4:$C$802,C216,$G$4:$G$802,"&gt;"&amp;G216)</x:f>
        <x:v>1</x:v>
      </x:c>
      <x:c r="I216" s="128" t="n">
        <x:f>D216/SUMIF($C$4:$C$802,C216,$D$4:$D$802)</x:f>
        <x:v>0.290381120369156</x:v>
      </x:c>
      <x:c r="J216" s="103" t="n">
        <x:f>(D216/SUMIF($A$4:$A$802,A216,$D$4:$D$802))/(SUMIF($C$4:$C$802,C216,$D$4:$D$802)/SUM($D$4:$D$802))</x:f>
        <x:v>1.7543221161376672</x:v>
      </x:c>
    </x:row>
    <x:row r="217">
      <x:c r="A217" s="101" t="str">
        <x:v>東京都</x:v>
      </x:c>
      <x:c r="B217" s="101" t="str">
        <x:v>K</x:v>
      </x:c>
      <x:c r="C217" s="101" t="str">
        <x:v>不動産業，物品賃貸業</x:v>
      </x:c>
      <x:c r="D217" s="102" t="n">
        <x:v>404078</x:v>
      </x:c>
      <x:c r="E217" s="102" t="n">
        <x:f>1+COUNTIFS($C$4:$C$802,C217,$D$4:$D$802,"&gt;"&amp;D217)</x:f>
        <x:v>1</x:v>
      </x:c>
      <x:c r="F217" s="102" t="n">
        <x:v>14047594</x:v>
      </x:c>
      <x:c r="G217" s="126" t="n">
        <x:f>D217/F217*10000</x:f>
        <x:v>287.6492586559663</x:v>
      </x:c>
      <x:c r="H217" s="127" t="n">
        <x:f>1+COUNTIFS($C$4:$C$802,C217,$G$4:$G$802,"&gt;"&amp;G217)</x:f>
        <x:v>1</x:v>
      </x:c>
      <x:c r="I217" s="128" t="n">
        <x:f>D217/SUMIF($C$4:$C$802,C217,$D$4:$D$802)</x:f>
        <x:v>0.2497178856191499</x:v>
      </x:c>
      <x:c r="J217" s="103" t="n">
        <x:f>(D217/SUMIF($A$4:$A$802,A217,$D$4:$D$802))/(SUMIF($C$4:$C$802,C217,$D$4:$D$802)/SUM($D$4:$D$802))</x:f>
        <x:v>1.5086573430802979</x:v>
      </x:c>
    </x:row>
    <x:row r="218">
      <x:c r="A218" s="101" t="str">
        <x:v>東京都</x:v>
      </x:c>
      <x:c r="B218" s="101" t="str">
        <x:v>L</x:v>
      </x:c>
      <x:c r="C218" s="101" t="str">
        <x:v>学術研究，専門・技術サービス業</x:v>
      </x:c>
      <x:c r="D218" s="102" t="n">
        <x:v>624126</x:v>
      </x:c>
      <x:c r="E218" s="102" t="n">
        <x:f>1+COUNTIFS($C$4:$C$802,C218,$D$4:$D$802,"&gt;"&amp;D218)</x:f>
        <x:v>1</x:v>
      </x:c>
      <x:c r="F218" s="102" t="n">
        <x:v>14047594</x:v>
      </x:c>
      <x:c r="G218" s="126" t="n">
        <x:f>D218/F218*10000</x:f>
        <x:v>444.2938769443365</x:v>
      </x:c>
      <x:c r="H218" s="127" t="n">
        <x:f>1+COUNTIFS($C$4:$C$802,C218,$G$4:$G$802,"&gt;"&amp;G218)</x:f>
        <x:v>1</x:v>
      </x:c>
      <x:c r="I218" s="128" t="n">
        <x:f>D218/SUMIF($C$4:$C$802,C218,$D$4:$D$802)</x:f>
        <x:v>0.2945491099239235</x:v>
      </x:c>
      <x:c r="J218" s="103" t="n">
        <x:f>(D218/SUMIF($A$4:$A$802,A218,$D$4:$D$802))/(SUMIF($C$4:$C$802,C218,$D$4:$D$802)/SUM($D$4:$D$802))</x:f>
        <x:v>1.7795028036646796</x:v>
      </x:c>
    </x:row>
    <x:row r="219">
      <x:c r="A219" s="101" t="str">
        <x:v>東京都</x:v>
      </x:c>
      <x:c r="B219" s="101" t="str">
        <x:v>M</x:v>
      </x:c>
      <x:c r="C219" s="101" t="str">
        <x:v>宿泊業，飲食サービス業</x:v>
      </x:c>
      <x:c r="D219" s="102" t="n">
        <x:v>735786</x:v>
      </x:c>
      <x:c r="E219" s="102" t="n">
        <x:f>1+COUNTIFS($C$4:$C$802,C219,$D$4:$D$802,"&gt;"&amp;D219)</x:f>
        <x:v>1</x:v>
      </x:c>
      <x:c r="F219" s="102" t="n">
        <x:v>14047594</x:v>
      </x:c>
      <x:c r="G219" s="126" t="n">
        <x:f>D219/F219*10000</x:f>
        <x:v>523.780798334576</x:v>
      </x:c>
      <x:c r="H219" s="127" t="n">
        <x:f>1+COUNTIFS($C$4:$C$802,C219,$G$4:$G$802,"&gt;"&amp;G219)</x:f>
        <x:v>1</x:v>
      </x:c>
      <x:c r="I219" s="128" t="n">
        <x:f>D219/SUMIF($C$4:$C$802,C219,$D$4:$D$802)</x:f>
        <x:v>0.15726160403476236</x:v>
      </x:c>
      <x:c r="J219" s="103" t="n">
        <x:f>(D219/SUMIF($A$4:$A$802,A219,$D$4:$D$802))/(SUMIF($C$4:$C$802,C219,$D$4:$D$802)/SUM($D$4:$D$802))</x:f>
        <x:v>0.9500876283786552</x:v>
      </x:c>
    </x:row>
    <x:row r="220">
      <x:c r="A220" s="101" t="str">
        <x:v>東京都</x:v>
      </x:c>
      <x:c r="B220" s="101" t="str">
        <x:v>N</x:v>
      </x:c>
      <x:c r="C220" s="101" t="str">
        <x:v>生活関連サービス業，娯楽業</x:v>
      </x:c>
      <x:c r="D220" s="102" t="n">
        <x:v>318875</x:v>
      </x:c>
      <x:c r="E220" s="102" t="n">
        <x:f>1+COUNTIFS($C$4:$C$802,C220,$D$4:$D$802,"&gt;"&amp;D220)</x:f>
        <x:v>1</x:v>
      </x:c>
      <x:c r="F220" s="102" t="n">
        <x:v>14047594</x:v>
      </x:c>
      <x:c r="G220" s="126" t="n">
        <x:f>D220/F220*10000</x:f>
        <x:v>226.99616745757316</x:v>
      </x:c>
      <x:c r="H220" s="127" t="n">
        <x:f>1+COUNTIFS($C$4:$C$802,C220,$G$4:$G$802,"&gt;"&amp;G220)</x:f>
        <x:v>1</x:v>
      </x:c>
      <x:c r="I220" s="128" t="n">
        <x:f>D220/SUMIF($C$4:$C$802,C220,$D$4:$D$802)</x:f>
        <x:v>0.14653245955336494</x:v>
      </x:c>
      <x:c r="J220" s="103" t="n">
        <x:f>(D220/SUMIF($A$4:$A$802,A220,$D$4:$D$802))/(SUMIF($C$4:$C$802,C220,$D$4:$D$802)/SUM($D$4:$D$802))</x:f>
        <x:v>0.8852680718350914</x:v>
      </x:c>
    </x:row>
    <x:row r="221">
      <x:c r="A221" s="101" t="str">
        <x:v>東京都</x:v>
      </x:c>
      <x:c r="B221" s="101" t="str">
        <x:v>O</x:v>
      </x:c>
      <x:c r="C221" s="101" t="str">
        <x:v>教育，学習支援業</x:v>
      </x:c>
      <x:c r="D221" s="102" t="n">
        <x:v>368630</x:v>
      </x:c>
      <x:c r="E221" s="102" t="n">
        <x:f>1+COUNTIFS($C$4:$C$802,C221,$D$4:$D$802,"&gt;"&amp;D221)</x:f>
        <x:v>1</x:v>
      </x:c>
      <x:c r="F221" s="102" t="n">
        <x:v>14047594</x:v>
      </x:c>
      <x:c r="G221" s="126" t="n">
        <x:f>D221/F221*10000</x:f>
        <x:v>262.41504417055336</x:v>
      </x:c>
      <x:c r="H221" s="127" t="n">
        <x:f>1+COUNTIFS($C$4:$C$802,C221,$G$4:$G$802,"&gt;"&amp;G221)</x:f>
        <x:v>1</x:v>
      </x:c>
      <x:c r="I221" s="128" t="n">
        <x:f>D221/SUMIF($C$4:$C$802,C221,$D$4:$D$802)</x:f>
        <x:v>0.18896989543423143</x:v>
      </x:c>
      <x:c r="J221" s="103" t="n">
        <x:f>(D221/SUMIF($A$4:$A$802,A221,$D$4:$D$802))/(SUMIF($C$4:$C$802,C221,$D$4:$D$802)/SUM($D$4:$D$802))</x:f>
        <x:v>1.1416515867940968</x:v>
      </x:c>
    </x:row>
    <x:row r="222">
      <x:c r="A222" s="101" t="str">
        <x:v>東京都</x:v>
      </x:c>
      <x:c r="B222" s="101" t="str">
        <x:v>P</x:v>
      </x:c>
      <x:c r="C222" s="101" t="str">
        <x:v>医療，福祉</x:v>
      </x:c>
      <x:c r="D222" s="102" t="n">
        <x:v>912794</x:v>
      </x:c>
      <x:c r="E222" s="102" t="n">
        <x:f>1+COUNTIFS($C$4:$C$802,C222,$D$4:$D$802,"&gt;"&amp;D222)</x:f>
        <x:v>1</x:v>
      </x:c>
      <x:c r="F222" s="102" t="n">
        <x:v>14047594</x:v>
      </x:c>
      <x:c r="G222" s="126" t="n">
        <x:f>D222/F222*10000</x:f>
        <x:v>649.7867179247919</x:v>
      </x:c>
      <x:c r="H222" s="127" t="n">
        <x:f>1+COUNTIFS($C$4:$C$802,C222,$G$4:$G$802,"&gt;"&amp;G222)</x:f>
        <x:v>23</x:v>
      </x:c>
      <x:c r="I222" s="128" t="n">
        <x:f>D222/SUMIF($C$4:$C$802,C222,$D$4:$D$802)</x:f>
        <x:v>0.11182914628764733</x:v>
      </x:c>
      <x:c r="J222" s="103" t="n">
        <x:f>(D222/SUMIF($A$4:$A$802,A222,$D$4:$D$802))/(SUMIF($C$4:$C$802,C222,$D$4:$D$802)/SUM($D$4:$D$802))</x:f>
        <x:v>0.6756098478847689</x:v>
      </x:c>
    </x:row>
    <x:row r="223">
      <x:c r="A223" s="101" t="str">
        <x:v>東京都</x:v>
      </x:c>
      <x:c r="B223" s="101" t="str">
        <x:v>Q</x:v>
      </x:c>
      <x:c r="C223" s="101" t="str">
        <x:v>複合サービス事業</x:v>
      </x:c>
      <x:c r="D223" s="102" t="n">
        <x:v>31615</x:v>
      </x:c>
      <x:c r="E223" s="102" t="n">
        <x:f>1+COUNTIFS($C$4:$C$802,C223,$D$4:$D$802,"&gt;"&amp;D223)</x:f>
        <x:v>1</x:v>
      </x:c>
      <x:c r="F223" s="102" t="n">
        <x:v>14047594</x:v>
      </x:c>
      <x:c r="G223" s="126" t="n">
        <x:f>D223/F223*10000</x:f>
        <x:v>22.505633349027597</x:v>
      </x:c>
      <x:c r="H223" s="127" t="n">
        <x:f>1+COUNTIFS($C$4:$C$802,C223,$G$4:$G$802,"&gt;"&amp;G223)</x:f>
        <x:v>46</x:v>
      </x:c>
      <x:c r="I223" s="128" t="n">
        <x:f>D223/SUMIF($C$4:$C$802,C223,$D$4:$D$802)</x:f>
        <x:v>0.07251645755441888</x:v>
      </x:c>
      <x:c r="J223" s="103" t="n">
        <x:f>(D223/SUMIF($A$4:$A$802,A223,$D$4:$D$802))/(SUMIF($C$4:$C$802,C223,$D$4:$D$802)/SUM($D$4:$D$802))</x:f>
        <x:v>0.4381043268582566</x:v>
      </x:c>
    </x:row>
    <x:row r="224">
      <x:c r="A224" s="101" t="str">
        <x:v>東京都</x:v>
      </x:c>
      <x:c r="B224" s="101" t="str">
        <x:v>R</x:v>
      </x:c>
      <x:c r="C224" s="101" t="str">
        <x:v>サービス業（他に分類されないもの）</x:v>
      </x:c>
      <x:c r="D224" s="102" t="n">
        <x:v>1163624</x:v>
      </x:c>
      <x:c r="E224" s="102" t="n">
        <x:f>1+COUNTIFS($C$4:$C$802,C224,$D$4:$D$802,"&gt;"&amp;D224)</x:f>
        <x:v>1</x:v>
      </x:c>
      <x:c r="F224" s="102" t="n">
        <x:v>14047594</x:v>
      </x:c>
      <x:c r="G224" s="126" t="n">
        <x:f>D224/F224*10000</x:f>
        <x:v>828.3439854540215</x:v>
      </x:c>
      <x:c r="H224" s="127" t="n">
        <x:f>1+COUNTIFS($C$4:$C$802,C224,$G$4:$G$802,"&gt;"&amp;G224)</x:f>
        <x:v>1</x:v>
      </x:c>
      <x:c r="I224" s="128" t="n">
        <x:f>D224/SUMIF($C$4:$C$802,C224,$D$4:$D$802)</x:f>
        <x:v>0.22230590044164142</x:v>
      </x:c>
      <x:c r="J224" s="103" t="n">
        <x:f>(D224/SUMIF($A$4:$A$802,A224,$D$4:$D$802))/(SUMIF($C$4:$C$802,C224,$D$4:$D$802)/SUM($D$4:$D$802))</x:f>
        <x:v>1.3430492905216265</x:v>
      </x:c>
    </x:row>
    <x:row r="225">
      <x:c r="A225" s="101" t="str">
        <x:v>神奈川県</x:v>
      </x:c>
      <x:c r="B225" s="101" t="str">
        <x:v>AB</x:v>
      </x:c>
      <x:c r="C225" s="101" t="str">
        <x:v>農林漁業</x:v>
      </x:c>
      <x:c r="D225" s="102" t="n">
        <x:v>6666</x:v>
      </x:c>
      <x:c r="E225" s="102" t="n">
        <x:f>1+COUNTIFS($C$4:$C$802,C225,$D$4:$D$802,"&gt;"&amp;D225)</x:f>
        <x:v>34</x:v>
      </x:c>
      <x:c r="F225" s="102" t="n">
        <x:v>9237337</x:v>
      </x:c>
      <x:c r="G225" s="126" t="n">
        <x:f>D225/F225*10000</x:f>
        <x:v>7.21636549581335</x:v>
      </x:c>
      <x:c r="H225" s="127" t="n">
        <x:f>1+COUNTIFS($C$4:$C$802,C225,$G$4:$G$802,"&gt;"&amp;G225)</x:f>
        <x:v>45</x:v>
      </x:c>
      <x:c r="I225" s="128" t="n">
        <x:f>D225/SUMIF($C$4:$C$802,C225,$D$4:$D$802)</x:f>
        <x:v>0.014692430951525557</x:v>
      </x:c>
      <x:c r="J225" s="103" t="n">
        <x:f>(D225/SUMIF($A$4:$A$802,A225,$D$4:$D$802))/(SUMIF($C$4:$C$802,C225,$D$4:$D$802)/SUM($D$4:$D$802))</x:f>
        <x:v>0.2414880730944377</x:v>
      </x:c>
    </x:row>
    <x:row r="226">
      <x:c r="A226" s="101" t="str">
        <x:v>神奈川県</x:v>
      </x:c>
      <x:c r="B226" s="101" t="str">
        <x:v>C</x:v>
      </x:c>
      <x:c r="C226" s="101" t="str">
        <x:v>鉱業，採石業，砂利採取業</x:v>
      </x:c>
      <x:c r="D226" s="102" t="n">
        <x:v>224</x:v>
      </x:c>
      <x:c r="E226" s="102" t="n">
        <x:f>1+COUNTIFS($C$4:$C$802,C226,$D$4:$D$802,"&gt;"&amp;D226)</x:f>
        <x:v>32</x:v>
      </x:c>
      <x:c r="F226" s="102" t="n">
        <x:v>9237337</x:v>
      </x:c>
      <x:c r="G226" s="126" t="n">
        <x:f>D226/F226*10000</x:f>
        <x:v>0.24249413007233578</x:v>
      </x:c>
      <x:c r="H226" s="127" t="n">
        <x:f>1+COUNTIFS($C$4:$C$802,C226,$G$4:$G$802,"&gt;"&amp;G226)</x:f>
        <x:v>46</x:v>
      </x:c>
      <x:c r="I226" s="128" t="n">
        <x:f>D226/SUMIF($C$4:$C$802,C226,$D$4:$D$802)</x:f>
        <x:v>0.011372290196476622</x:v>
      </x:c>
      <x:c r="J226" s="103" t="n">
        <x:f>(D226/SUMIF($A$4:$A$802,A226,$D$4:$D$802))/(SUMIF($C$4:$C$802,C226,$D$4:$D$802)/SUM($D$4:$D$802))</x:f>
        <x:v>0.1869174988998502</x:v>
      </x:c>
    </x:row>
    <x:row r="227">
      <x:c r="A227" s="101" t="str">
        <x:v>神奈川県</x:v>
      </x:c>
      <x:c r="B227" s="101" t="str">
        <x:v>D</x:v>
      </x:c>
      <x:c r="C227" s="101" t="str">
        <x:v>建設業</x:v>
      </x:c>
      <x:c r="D227" s="102" t="n">
        <x:v>208570</x:v>
      </x:c>
      <x:c r="E227" s="102" t="n">
        <x:f>1+COUNTIFS($C$4:$C$802,C227,$D$4:$D$802,"&gt;"&amp;D227)</x:f>
        <x:v>4</x:v>
      </x:c>
      <x:c r="F227" s="102" t="n">
        <x:v>9237337</x:v>
      </x:c>
      <x:c r="G227" s="126" t="n">
        <x:f>D227/F227*10000</x:f>
        <x:v>225.7901817374423</x:v>
      </x:c>
      <x:c r="H227" s="127" t="n">
        <x:f>1+COUNTIFS($C$4:$C$802,C227,$G$4:$G$802,"&gt;"&amp;G227)</x:f>
        <x:v>43</x:v>
      </x:c>
      <x:c r="I227" s="128" t="n">
        <x:f>D227/SUMIF($C$4:$C$802,C227,$D$4:$D$802)</x:f>
        <x:v>0.05580595143969829</x:v>
      </x:c>
      <x:c r="J227" s="103" t="n">
        <x:f>(D227/SUMIF($A$4:$A$802,A227,$D$4:$D$802))/(SUMIF($C$4:$C$802,C227,$D$4:$D$802)/SUM($D$4:$D$802))</x:f>
        <x:v>0.9172390685269955</x:v>
      </x:c>
    </x:row>
    <x:row r="228">
      <x:c r="A228" s="101" t="str">
        <x:v>神奈川県</x:v>
      </x:c>
      <x:c r="B228" s="101" t="str">
        <x:v>E</x:v>
      </x:c>
      <x:c r="C228" s="101" t="str">
        <x:v>製造業</x:v>
      </x:c>
      <x:c r="D228" s="102" t="n">
        <x:v>438054</x:v>
      </x:c>
      <x:c r="E228" s="102" t="n">
        <x:f>1+COUNTIFS($C$4:$C$802,C228,$D$4:$D$802,"&gt;"&amp;D228)</x:f>
        <x:v>6</x:v>
      </x:c>
      <x:c r="F228" s="102" t="n">
        <x:v>9237337</x:v>
      </x:c>
      <x:c r="G228" s="126" t="n">
        <x:f>D228/F228*10000</x:f>
        <x:v>474.2210877442276</x:v>
      </x:c>
      <x:c r="H228" s="127" t="n">
        <x:f>1+COUNTIFS($C$4:$C$802,C228,$G$4:$G$802,"&gt;"&amp;G228)</x:f>
        <x:v>42</x:v>
      </x:c>
      <x:c r="I228" s="128" t="n">
        <x:f>D228/SUMIF($C$4:$C$802,C228,$D$4:$D$802)</x:f>
        <x:v>0.04975826484558722</x:v>
      </x:c>
      <x:c r="J228" s="103" t="n">
        <x:f>(D228/SUMIF($A$4:$A$802,A228,$D$4:$D$802))/(SUMIF($C$4:$C$802,C228,$D$4:$D$802)/SUM($D$4:$D$802))</x:f>
        <x:v>0.8178379423886893</x:v>
      </x:c>
    </x:row>
    <x:row r="229">
      <x:c r="A229" s="101" t="str">
        <x:v>神奈川県</x:v>
      </x:c>
      <x:c r="B229" s="101" t="str">
        <x:v>F</x:v>
      </x:c>
      <x:c r="C229" s="101" t="str">
        <x:v>電気・ガス・熱供給・水道業</x:v>
      </x:c>
      <x:c r="D229" s="102" t="n">
        <x:v>5768</x:v>
      </x:c>
      <x:c r="E229" s="102" t="n">
        <x:f>1+COUNTIFS($C$4:$C$802,C229,$D$4:$D$802,"&gt;"&amp;D229)</x:f>
        <x:v>7</x:v>
      </x:c>
      <x:c r="F229" s="102" t="n">
        <x:v>9237337</x:v>
      </x:c>
      <x:c r="G229" s="126" t="n">
        <x:f>D229/F229*10000</x:f>
        <x:v>6.244223849362647</x:v>
      </x:c>
      <x:c r="H229" s="127" t="n">
        <x:f>1+COUNTIFS($C$4:$C$802,C229,$G$4:$G$802,"&gt;"&amp;G229)</x:f>
        <x:v>46</x:v>
      </x:c>
      <x:c r="I229" s="128" t="n">
        <x:f>D229/SUMIF($C$4:$C$802,C229,$D$4:$D$802)</x:f>
        <x:v>0.028533408525394634</x:v>
      </x:c>
      <x:c r="J229" s="103" t="n">
        <x:f>(D229/SUMIF($A$4:$A$802,A229,$D$4:$D$802))/(SUMIF($C$4:$C$802,C229,$D$4:$D$802)/SUM($D$4:$D$802))</x:f>
        <x:v>0.468981468509028</x:v>
      </x:c>
    </x:row>
    <x:row r="230">
      <x:c r="A230" s="101" t="str">
        <x:v>神奈川県</x:v>
      </x:c>
      <x:c r="B230" s="101" t="str">
        <x:v>G</x:v>
      </x:c>
      <x:c r="C230" s="101" t="str">
        <x:v>情報通信業</x:v>
      </x:c>
      <x:c r="D230" s="102" t="n">
        <x:v>126045</x:v>
      </x:c>
      <x:c r="E230" s="102" t="n">
        <x:f>1+COUNTIFS($C$4:$C$802,C230,$D$4:$D$802,"&gt;"&amp;D230)</x:f>
        <x:v>3</x:v>
      </x:c>
      <x:c r="F230" s="102" t="n">
        <x:v>9237337</x:v>
      </x:c>
      <x:c r="G230" s="126" t="n">
        <x:f>D230/F230*10000</x:f>
        <x:v>136.45166350431947</x:v>
      </x:c>
      <x:c r="H230" s="127" t="n">
        <x:f>1+COUNTIFS($C$4:$C$802,C230,$G$4:$G$802,"&gt;"&amp;G230)</x:f>
        <x:v>3</x:v>
      </x:c>
      <x:c r="I230" s="128" t="n">
        <x:f>D230/SUMIF($C$4:$C$802,C230,$D$4:$D$802)</x:f>
        <x:v>0.06343996670087511</x:v>
      </x:c>
      <x:c r="J230" s="103" t="n">
        <x:f>(D230/SUMIF($A$4:$A$802,A230,$D$4:$D$802))/(SUMIF($C$4:$C$802,C230,$D$4:$D$802)/SUM($D$4:$D$802))</x:f>
        <x:v>1.0427134465572496</x:v>
      </x:c>
    </x:row>
    <x:row r="231">
      <x:c r="A231" s="101" t="str">
        <x:v>神奈川県</x:v>
      </x:c>
      <x:c r="B231" s="101" t="str">
        <x:v>H</x:v>
      </x:c>
      <x:c r="C231" s="101" t="str">
        <x:v>運輸業，郵便業</x:v>
      </x:c>
      <x:c r="D231" s="102" t="n">
        <x:v>223339</x:v>
      </x:c>
      <x:c r="E231" s="102" t="n">
        <x:f>1+COUNTIFS($C$4:$C$802,C231,$D$4:$D$802,"&gt;"&amp;D231)</x:f>
        <x:v>3</x:v>
      </x:c>
      <x:c r="F231" s="102" t="n">
        <x:v>9237337</x:v>
      </x:c>
      <x:c r="G231" s="126" t="n">
        <x:f>D231/F231*10000</x:f>
        <x:v>241.77855587600627</x:v>
      </x:c>
      <x:c r="H231" s="127" t="n">
        <x:f>1+COUNTIFS($C$4:$C$802,C231,$G$4:$G$802,"&gt;"&amp;G231)</x:f>
        <x:v>20</x:v>
      </x:c>
      <x:c r="I231" s="128" t="n">
        <x:f>D231/SUMIF($C$4:$C$802,C231,$D$4:$D$802)</x:f>
        <x:v>0.06840955495914829</x:v>
      </x:c>
      <x:c r="J231" s="103" t="n">
        <x:f>(D231/SUMIF($A$4:$A$802,A231,$D$4:$D$802))/(SUMIF($C$4:$C$802,C231,$D$4:$D$802)/SUM($D$4:$D$802))</x:f>
        <x:v>1.124394707917101</x:v>
      </x:c>
    </x:row>
    <x:row r="232">
      <x:c r="A232" s="101" t="str">
        <x:v>神奈川県</x:v>
      </x:c>
      <x:c r="B232" s="101" t="str">
        <x:v>I</x:v>
      </x:c>
      <x:c r="C232" s="101" t="str">
        <x:v>卸売業，小売業</x:v>
      </x:c>
      <x:c r="D232" s="102" t="n">
        <x:v>673439</x:v>
      </x:c>
      <x:c r="E232" s="102" t="n">
        <x:f>1+COUNTIFS($C$4:$C$802,C232,$D$4:$D$802,"&gt;"&amp;D232)</x:f>
        <x:v>4</x:v>
      </x:c>
      <x:c r="F232" s="102" t="n">
        <x:v>9237337</x:v>
      </x:c>
      <x:c r="G232" s="126" t="n">
        <x:f>D232/F232*10000</x:f>
        <x:v>729.040198490106</x:v>
      </x:c>
      <x:c r="H232" s="127" t="n">
        <x:f>1+COUNTIFS($C$4:$C$802,C232,$G$4:$G$802,"&gt;"&amp;G232)</x:f>
        <x:v>44</x:v>
      </x:c>
      <x:c r="I232" s="128" t="n">
        <x:f>D232/SUMIF($C$4:$C$802,C232,$D$4:$D$802)</x:f>
        <x:v>0.05799547086253751</x:v>
      </x:c>
      <x:c r="J232" s="103" t="n">
        <x:f>(D232/SUMIF($A$4:$A$802,A232,$D$4:$D$802))/(SUMIF($C$4:$C$802,C232,$D$4:$D$802)/SUM($D$4:$D$802))</x:f>
        <x:v>0.9532264982565454</x:v>
      </x:c>
    </x:row>
    <x:row r="233">
      <x:c r="A233" s="101" t="str">
        <x:v>神奈川県</x:v>
      </x:c>
      <x:c r="B233" s="101" t="str">
        <x:v>J</x:v>
      </x:c>
      <x:c r="C233" s="101" t="str">
        <x:v>金融業，保険業</x:v>
      </x:c>
      <x:c r="D233" s="102" t="n">
        <x:v>62886</x:v>
      </x:c>
      <x:c r="E233" s="102" t="n">
        <x:f>1+COUNTIFS($C$4:$C$802,C233,$D$4:$D$802,"&gt;"&amp;D233)</x:f>
        <x:v>4</x:v>
      </x:c>
      <x:c r="F233" s="102" t="n">
        <x:v>9237337</x:v>
      </x:c>
      <x:c r="G233" s="126" t="n">
        <x:f>D233/F233*10000</x:f>
        <x:v>68.07806189164691</x:v>
      </x:c>
      <x:c r="H233" s="127" t="n">
        <x:f>1+COUNTIFS($C$4:$C$802,C233,$G$4:$G$802,"&gt;"&amp;G233)</x:f>
        <x:v>47</x:v>
      </x:c>
      <x:c r="I233" s="128" t="n">
        <x:f>D233/SUMIF($C$4:$C$802,C233,$D$4:$D$802)</x:f>
        <x:v>0.04208008907708326</x:v>
      </x:c>
      <x:c r="J233" s="103" t="n">
        <x:f>(D233/SUMIF($A$4:$A$802,A233,$D$4:$D$802))/(SUMIF($C$4:$C$802,C233,$D$4:$D$802)/SUM($D$4:$D$802))</x:f>
        <x:v>0.6916377324075156</x:v>
      </x:c>
    </x:row>
    <x:row r="234">
      <x:c r="A234" s="101" t="str">
        <x:v>神奈川県</x:v>
      </x:c>
      <x:c r="B234" s="101" t="str">
        <x:v>K</x:v>
      </x:c>
      <x:c r="C234" s="101" t="str">
        <x:v>不動産業，物品賃貸業</x:v>
      </x:c>
      <x:c r="D234" s="102" t="n">
        <x:v>114871</x:v>
      </x:c>
      <x:c r="E234" s="102" t="n">
        <x:f>1+COUNTIFS($C$4:$C$802,C234,$D$4:$D$802,"&gt;"&amp;D234)</x:f>
        <x:v>3</x:v>
      </x:c>
      <x:c r="F234" s="102" t="n">
        <x:v>9237337</x:v>
      </x:c>
      <x:c r="G234" s="126" t="n">
        <x:f>D234/F234*10000</x:f>
        <x:v>124.35510364080038</x:v>
      </x:c>
      <x:c r="H234" s="127" t="n">
        <x:f>1+COUNTIFS($C$4:$C$802,C234,$G$4:$G$802,"&gt;"&amp;G234)</x:f>
        <x:v>7</x:v>
      </x:c>
      <x:c r="I234" s="128" t="n">
        <x:f>D234/SUMIF($C$4:$C$802,C234,$D$4:$D$802)</x:f>
        <x:v>0.07098961893237783</x:v>
      </x:c>
      <x:c r="J234" s="103" t="n">
        <x:f>(D234/SUMIF($A$4:$A$802,A234,$D$4:$D$802))/(SUMIF($C$4:$C$802,C234,$D$4:$D$802)/SUM($D$4:$D$802))</x:f>
        <x:v>1.1668012150098492</x:v>
      </x:c>
    </x:row>
    <x:row r="235">
      <x:c r="A235" s="101" t="str">
        <x:v>神奈川県</x:v>
      </x:c>
      <x:c r="B235" s="101" t="str">
        <x:v>L</x:v>
      </x:c>
      <x:c r="C235" s="101" t="str">
        <x:v>学術研究，専門・技術サービス業</x:v>
      </x:c>
      <x:c r="D235" s="102" t="n">
        <x:v>175166</x:v>
      </x:c>
      <x:c r="E235" s="102" t="n">
        <x:f>1+COUNTIFS($C$4:$C$802,C235,$D$4:$D$802,"&gt;"&amp;D235)</x:f>
        <x:v>2</x:v>
      </x:c>
      <x:c r="F235" s="102" t="n">
        <x:v>9237337</x:v>
      </x:c>
      <x:c r="G235" s="126" t="n">
        <x:f>D235/F235*10000</x:f>
        <x:v>189.62824459040522</x:v>
      </x:c>
      <x:c r="H235" s="127" t="n">
        <x:f>1+COUNTIFS($C$4:$C$802,C235,$G$4:$G$802,"&gt;"&amp;G235)</x:f>
        <x:v>4</x:v>
      </x:c>
      <x:c r="I235" s="128" t="n">
        <x:f>D235/SUMIF($C$4:$C$802,C235,$D$4:$D$802)</x:f>
        <x:v>0.08266758537368094</x:v>
      </x:c>
      <x:c r="J235" s="103" t="n">
        <x:f>(D235/SUMIF($A$4:$A$802,A235,$D$4:$D$802))/(SUMIF($C$4:$C$802,C235,$D$4:$D$802)/SUM($D$4:$D$802))</x:f>
        <x:v>1.3587428768679894</x:v>
      </x:c>
    </x:row>
    <x:row r="236">
      <x:c r="A236" s="101" t="str">
        <x:v>神奈川県</x:v>
      </x:c>
      <x:c r="B236" s="101" t="str">
        <x:v>M</x:v>
      </x:c>
      <x:c r="C236" s="101" t="str">
        <x:v>宿泊業，飲食サービス業</x:v>
      </x:c>
      <x:c r="D236" s="102" t="n">
        <x:v>311021</x:v>
      </x:c>
      <x:c r="E236" s="102" t="n">
        <x:f>1+COUNTIFS($C$4:$C$802,C236,$D$4:$D$802,"&gt;"&amp;D236)</x:f>
        <x:v>3</x:v>
      </x:c>
      <x:c r="F236" s="102" t="n">
        <x:v>9237337</x:v>
      </x:c>
      <x:c r="G236" s="126" t="n">
        <x:f>D236/F236*10000</x:f>
        <x:v>336.6998519161962</x:v>
      </x:c>
      <x:c r="H236" s="127" t="n">
        <x:f>1+COUNTIFS($C$4:$C$802,C236,$G$4:$G$802,"&gt;"&amp;G236)</x:f>
        <x:v>28</x:v>
      </x:c>
      <x:c r="I236" s="128" t="n">
        <x:f>D236/SUMIF($C$4:$C$802,C236,$D$4:$D$802)</x:f>
        <x:v>0.06647539005702177</x:v>
      </x:c>
      <x:c r="J236" s="103" t="n">
        <x:f>(D236/SUMIF($A$4:$A$802,A236,$D$4:$D$802))/(SUMIF($C$4:$C$802,C236,$D$4:$D$802)/SUM($D$4:$D$802))</x:f>
        <x:v>1.0926043420612095</x:v>
      </x:c>
    </x:row>
    <x:row r="237">
      <x:c r="A237" s="101" t="str">
        <x:v>神奈川県</x:v>
      </x:c>
      <x:c r="B237" s="101" t="str">
        <x:v>N</x:v>
      </x:c>
      <x:c r="C237" s="101" t="str">
        <x:v>生活関連サービス業，娯楽業</x:v>
      </x:c>
      <x:c r="D237" s="102" t="n">
        <x:v>134781</x:v>
      </x:c>
      <x:c r="E237" s="102" t="n">
        <x:f>1+COUNTIFS($C$4:$C$802,C237,$D$4:$D$802,"&gt;"&amp;D237)</x:f>
        <x:v>3</x:v>
      </x:c>
      <x:c r="F237" s="102" t="n">
        <x:v>9237337</x:v>
      </x:c>
      <x:c r="G237" s="126" t="n">
        <x:f>D237/F237*10000</x:f>
        <x:v>145.90893457714057</x:v>
      </x:c>
      <x:c r="H237" s="127" t="n">
        <x:f>1+COUNTIFS($C$4:$C$802,C237,$G$4:$G$802,"&gt;"&amp;G237)</x:f>
        <x:v>46</x:v>
      </x:c>
      <x:c r="I237" s="128" t="n">
        <x:f>D237/SUMIF($C$4:$C$802,C237,$D$4:$D$802)</x:f>
        <x:v>0.061935841414541996</x:v>
      </x:c>
      <x:c r="J237" s="103" t="n">
        <x:f>(D237/SUMIF($A$4:$A$802,A237,$D$4:$D$802))/(SUMIF($C$4:$C$802,C237,$D$4:$D$802)/SUM($D$4:$D$802))</x:f>
        <x:v>1.0179913077711225</x:v>
      </x:c>
    </x:row>
    <x:row r="238">
      <x:c r="A238" s="101" t="str">
        <x:v>神奈川県</x:v>
      </x:c>
      <x:c r="B238" s="101" t="str">
        <x:v>O</x:v>
      </x:c>
      <x:c r="C238" s="101" t="str">
        <x:v>教育，学習支援業</x:v>
      </x:c>
      <x:c r="D238" s="102" t="n">
        <x:v>139209</x:v>
      </x:c>
      <x:c r="E238" s="102" t="n">
        <x:f>1+COUNTIFS($C$4:$C$802,C238,$D$4:$D$802,"&gt;"&amp;D238)</x:f>
        <x:v>3</x:v>
      </x:c>
      <x:c r="F238" s="102" t="n">
        <x:v>9237337</x:v>
      </x:c>
      <x:c r="G238" s="126" t="n">
        <x:f>D238/F238*10000</x:f>
        <x:v>150.70252389839195</x:v>
      </x:c>
      <x:c r="H238" s="127" t="n">
        <x:f>1+COUNTIFS($C$4:$C$802,C238,$G$4:$G$802,"&gt;"&amp;G238)</x:f>
        <x:v>10</x:v>
      </x:c>
      <x:c r="I238" s="128" t="n">
        <x:f>D238/SUMIF($C$4:$C$802,C238,$D$4:$D$802)</x:f>
        <x:v>0.07136236924152652</x:v>
      </x:c>
      <x:c r="J238" s="103" t="n">
        <x:f>(D238/SUMIF($A$4:$A$802,A238,$D$4:$D$802))/(SUMIF($C$4:$C$802,C238,$D$4:$D$802)/SUM($D$4:$D$802))</x:f>
        <x:v>1.1729278222539912</x:v>
      </x:c>
    </x:row>
    <x:row r="239">
      <x:c r="A239" s="101" t="str">
        <x:v>神奈川県</x:v>
      </x:c>
      <x:c r="B239" s="101" t="str">
        <x:v>P</x:v>
      </x:c>
      <x:c r="C239" s="101" t="str">
        <x:v>医療，福祉</x:v>
      </x:c>
      <x:c r="D239" s="102" t="n">
        <x:v>566526</x:v>
      </x:c>
      <x:c r="E239" s="102" t="n">
        <x:f>1+COUNTIFS($C$4:$C$802,C239,$D$4:$D$802,"&gt;"&amp;D239)</x:f>
        <x:v>3</x:v>
      </x:c>
      <x:c r="F239" s="102" t="n">
        <x:v>9237337</x:v>
      </x:c>
      <x:c r="G239" s="126" t="n">
        <x:f>D239/F239*10000</x:f>
        <x:v>613.3001318453576</x:v>
      </x:c>
      <x:c r="H239" s="127" t="n">
        <x:f>1+COUNTIFS($C$4:$C$802,C239,$G$4:$G$802,"&gt;"&amp;G239)</x:f>
        <x:v>33</x:v>
      </x:c>
      <x:c r="I239" s="128" t="n">
        <x:f>D239/SUMIF($C$4:$C$802,C239,$D$4:$D$802)</x:f>
        <x:v>0.06940680912643564</x:v>
      </x:c>
      <x:c r="J239" s="103" t="n">
        <x:f>(D239/SUMIF($A$4:$A$802,A239,$D$4:$D$802))/(SUMIF($C$4:$C$802,C239,$D$4:$D$802)/SUM($D$4:$D$802))</x:f>
        <x:v>1.1407857999044086</x:v>
      </x:c>
    </x:row>
    <x:row r="240">
      <x:c r="A240" s="101" t="str">
        <x:v>神奈川県</x:v>
      </x:c>
      <x:c r="B240" s="101" t="str">
        <x:v>Q</x:v>
      </x:c>
      <x:c r="C240" s="101" t="str">
        <x:v>複合サービス事業</x:v>
      </x:c>
      <x:c r="D240" s="102" t="n">
        <x:v>17477</x:v>
      </x:c>
      <x:c r="E240" s="102" t="n">
        <x:f>1+COUNTIFS($C$4:$C$802,C240,$D$4:$D$802,"&gt;"&amp;D240)</x:f>
        <x:v>6</x:v>
      </x:c>
      <x:c r="F240" s="102" t="n">
        <x:v>9237337</x:v>
      </x:c>
      <x:c r="G240" s="126" t="n">
        <x:f>D240/F240*10000</x:f>
        <x:v>18.91995496104559</x:v>
      </x:c>
      <x:c r="H240" s="127" t="n">
        <x:f>1+COUNTIFS($C$4:$C$802,C240,$G$4:$G$802,"&gt;"&amp;G240)</x:f>
        <x:v>47</x:v>
      </x:c>
      <x:c r="I240" s="128" t="n">
        <x:f>D240/SUMIF($C$4:$C$802,C240,$D$4:$D$802)</x:f>
        <x:v>0.04008762070784687</x:v>
      </x:c>
      <x:c r="J240" s="103" t="n">
        <x:f>(D240/SUMIF($A$4:$A$802,A240,$D$4:$D$802))/(SUMIF($C$4:$C$802,C240,$D$4:$D$802)/SUM($D$4:$D$802))</x:f>
        <x:v>0.6588890777583302</x:v>
      </x:c>
    </x:row>
    <x:row r="241">
      <x:c r="A241" s="101" t="str">
        <x:v>神奈川県</x:v>
      </x:c>
      <x:c r="B241" s="101" t="str">
        <x:v>R</x:v>
      </x:c>
      <x:c r="C241" s="101" t="str">
        <x:v>サービス業（他に分類されないもの）</x:v>
      </x:c>
      <x:c r="D241" s="102" t="n">
        <x:v>321702</x:v>
      </x:c>
      <x:c r="E241" s="102" t="n">
        <x:f>1+COUNTIFS($C$4:$C$802,C241,$D$4:$D$802,"&gt;"&amp;D241)</x:f>
        <x:v>4</x:v>
      </x:c>
      <x:c r="F241" s="102" t="n">
        <x:v>9237337</x:v>
      </x:c>
      <x:c r="G241" s="126" t="n">
        <x:f>D241/F241*10000</x:f>
        <x:v>348.26270818094</x:v>
      </x:c>
      <x:c r="H241" s="127" t="n">
        <x:f>1+COUNTIFS($C$4:$C$802,C241,$G$4:$G$802,"&gt;"&amp;G241)</x:f>
        <x:v>21</x:v>
      </x:c>
      <x:c r="I241" s="128" t="n">
        <x:f>D241/SUMIF($C$4:$C$802,C241,$D$4:$D$802)</x:f>
        <x:v>0.06145993274792968</x:v>
      </x:c>
      <x:c r="J241" s="103" t="n">
        <x:f>(D241/SUMIF($A$4:$A$802,A241,$D$4:$D$802))/(SUMIF($C$4:$C$802,C241,$D$4:$D$802)/SUM($D$4:$D$802))</x:f>
        <x:v>1.0101691667484198</x:v>
      </x:c>
    </x:row>
    <x:row r="242">
      <x:c r="A242" s="101" t="str">
        <x:v>新潟県</x:v>
      </x:c>
      <x:c r="B242" s="101" t="str">
        <x:v>AB</x:v>
      </x:c>
      <x:c r="C242" s="101" t="str">
        <x:v>農林漁業</x:v>
      </x:c>
      <x:c r="D242" s="102" t="n">
        <x:v>18279</x:v>
      </x:c>
      <x:c r="E242" s="102" t="n">
        <x:f>1+COUNTIFS($C$4:$C$802,C242,$D$4:$D$802,"&gt;"&amp;D242)</x:f>
        <x:v>2</x:v>
      </x:c>
      <x:c r="F242" s="102" t="n">
        <x:v>2201272</x:v>
      </x:c>
      <x:c r="G242" s="126" t="n">
        <x:f>D242/F242*10000</x:f>
        <x:v>83.03835237081105</x:v>
      </x:c>
      <x:c r="H242" s="127" t="n">
        <x:f>1+COUNTIFS($C$4:$C$802,C242,$G$4:$G$802,"&gt;"&amp;G242)</x:f>
        <x:v>10</x:v>
      </x:c>
      <x:c r="I242" s="128" t="n">
        <x:f>D242/SUMIF($C$4:$C$802,C242,$D$4:$D$802)</x:f>
        <x:v>0.0402884706515055</x:v>
      </x:c>
      <x:c r="J242" s="103" t="n">
        <x:f>(D242/SUMIF($A$4:$A$802,A242,$D$4:$D$802))/(SUMIF($C$4:$C$802,C242,$D$4:$D$802)/SUM($D$4:$D$802))</x:f>
        <x:v>2.3239743641977806</x:v>
      </x:c>
    </x:row>
    <x:row r="243">
      <x:c r="A243" s="101" t="str">
        <x:v>新潟県</x:v>
      </x:c>
      <x:c r="B243" s="101" t="str">
        <x:v>C</x:v>
      </x:c>
      <x:c r="C243" s="101" t="str">
        <x:v>鉱業，採石業，砂利採取業</x:v>
      </x:c>
      <x:c r="D243" s="102" t="n">
        <x:v>1236</x:v>
      </x:c>
      <x:c r="E243" s="102" t="n">
        <x:f>1+COUNTIFS($C$4:$C$802,C243,$D$4:$D$802,"&gt;"&amp;D243)</x:f>
        <x:v>3</x:v>
      </x:c>
      <x:c r="F243" s="102" t="n">
        <x:v>2201272</x:v>
      </x:c>
      <x:c r="G243" s="126" t="n">
        <x:f>D243/F243*10000</x:f>
        <x:v>5.614935364643715</x:v>
      </x:c>
      <x:c r="H243" s="127" t="n">
        <x:f>1+COUNTIFS($C$4:$C$802,C243,$G$4:$G$802,"&gt;"&amp;G243)</x:f>
        <x:v>5</x:v>
      </x:c>
      <x:c r="I243" s="128" t="n">
        <x:f>D243/SUMIF($C$4:$C$802,C243,$D$4:$D$802)</x:f>
        <x:v>0.06275067269127278</x:v>
      </x:c>
      <x:c r="J243" s="103" t="n">
        <x:f>(D243/SUMIF($A$4:$A$802,A243,$D$4:$D$802))/(SUMIF($C$4:$C$802,C243,$D$4:$D$802)/SUM($D$4:$D$802))</x:f>
        <x:v>3.6196696551755125</x:v>
      </x:c>
    </x:row>
    <x:row r="244">
      <x:c r="A244" s="101" t="str">
        <x:v>新潟県</x:v>
      </x:c>
      <x:c r="B244" s="101" t="str">
        <x:v>D</x:v>
      </x:c>
      <x:c r="C244" s="101" t="str">
        <x:v>建設業</x:v>
      </x:c>
      <x:c r="D244" s="102" t="n">
        <x:v>94206</x:v>
      </x:c>
      <x:c r="E244" s="102" t="n">
        <x:f>1+COUNTIFS($C$4:$C$802,C244,$D$4:$D$802,"&gt;"&amp;D244)</x:f>
        <x:v>12</x:v>
      </x:c>
      <x:c r="F244" s="102" t="n">
        <x:v>2201272</x:v>
      </x:c>
      <x:c r="G244" s="126" t="n">
        <x:f>D244/F244*10000</x:f>
        <x:v>427.9616512634513</x:v>
      </x:c>
      <x:c r="H244" s="127" t="n">
        <x:f>1+COUNTIFS($C$4:$C$802,C244,$G$4:$G$802,"&gt;"&amp;G244)</x:f>
        <x:v>2</x:v>
      </x:c>
      <x:c r="I244" s="128" t="n">
        <x:f>D244/SUMIF($C$4:$C$802,C244,$D$4:$D$802)</x:f>
        <x:v>0.025206191980285838</x:v>
      </x:c>
      <x:c r="J244" s="103" t="n">
        <x:f>(D244/SUMIF($A$4:$A$802,A244,$D$4:$D$802))/(SUMIF($C$4:$C$802,C244,$D$4:$D$802)/SUM($D$4:$D$802))</x:f>
        <x:v>1.4539778510813988</x:v>
      </x:c>
    </x:row>
    <x:row r="245">
      <x:c r="A245" s="101" t="str">
        <x:v>新潟県</x:v>
      </x:c>
      <x:c r="B245" s="101" t="str">
        <x:v>E</x:v>
      </x:c>
      <x:c r="C245" s="101" t="str">
        <x:v>製造業</x:v>
      </x:c>
      <x:c r="D245" s="102" t="n">
        <x:v>196131</x:v>
      </x:c>
      <x:c r="E245" s="102" t="n">
        <x:f>1+COUNTIFS($C$4:$C$802,C245,$D$4:$D$802,"&gt;"&amp;D245)</x:f>
        <x:v>17</x:v>
      </x:c>
      <x:c r="F245" s="102" t="n">
        <x:v>2201272</x:v>
      </x:c>
      <x:c r="G245" s="126" t="n">
        <x:f>D245/F245*10000</x:f>
        <x:v>890.9893915881363</x:v>
      </x:c>
      <x:c r="H245" s="127" t="n">
        <x:f>1+COUNTIFS($C$4:$C$802,C245,$G$4:$G$802,"&gt;"&amp;G245)</x:f>
        <x:v>16</x:v>
      </x:c>
      <x:c r="I245" s="128" t="n">
        <x:f>D245/SUMIF($C$4:$C$802,C245,$D$4:$D$802)</x:f>
        <x:v>0.02227839088886271</x:v>
      </x:c>
      <x:c r="J245" s="103" t="n">
        <x:f>(D245/SUMIF($A$4:$A$802,A245,$D$4:$D$802))/(SUMIF($C$4:$C$802,C245,$D$4:$D$802)/SUM($D$4:$D$802))</x:f>
        <x:v>1.285092446152697</x:v>
      </x:c>
    </x:row>
    <x:row r="246">
      <x:c r="A246" s="101" t="str">
        <x:v>新潟県</x:v>
      </x:c>
      <x:c r="B246" s="101" t="str">
        <x:v>F</x:v>
      </x:c>
      <x:c r="C246" s="101" t="str">
        <x:v>電気・ガス・熱供給・水道業</x:v>
      </x:c>
      <x:c r="D246" s="102" t="n">
        <x:v>5115</x:v>
      </x:c>
      <x:c r="E246" s="102" t="n">
        <x:f>1+COUNTIFS($C$4:$C$802,C246,$D$4:$D$802,"&gt;"&amp;D246)</x:f>
        <x:v>11</x:v>
      </x:c>
      <x:c r="F246" s="102" t="n">
        <x:v>2201272</x:v>
      </x:c>
      <x:c r="G246" s="126" t="n">
        <x:f>D246/F246*10000</x:f>
        <x:v>23.23656504057654</x:v>
      </x:c>
      <x:c r="H246" s="127" t="n">
        <x:f>1+COUNTIFS($C$4:$C$802,C246,$G$4:$G$802,"&gt;"&amp;G246)</x:f>
        <x:v>7</x:v>
      </x:c>
      <x:c r="I246" s="128" t="n">
        <x:f>D246/SUMIF($C$4:$C$802,C246,$D$4:$D$802)</x:f>
        <x:v>0.025303117997120934</x:v>
      </x:c>
      <x:c r="J246" s="103" t="n">
        <x:f>(D246/SUMIF($A$4:$A$802,A246,$D$4:$D$802))/(SUMIF($C$4:$C$802,C246,$D$4:$D$802)/SUM($D$4:$D$802))</x:f>
        <x:v>1.459568869422527</x:v>
      </x:c>
    </x:row>
    <x:row r="247">
      <x:c r="A247" s="101" t="str">
        <x:v>新潟県</x:v>
      </x:c>
      <x:c r="B247" s="101" t="str">
        <x:v>G</x:v>
      </x:c>
      <x:c r="C247" s="101" t="str">
        <x:v>情報通信業</x:v>
      </x:c>
      <x:c r="D247" s="102" t="n">
        <x:v>12149</x:v>
      </x:c>
      <x:c r="E247" s="102" t="n">
        <x:f>1+COUNTIFS($C$4:$C$802,C247,$D$4:$D$802,"&gt;"&amp;D247)</x:f>
        <x:v>17</x:v>
      </x:c>
      <x:c r="F247" s="102" t="n">
        <x:v>2201272</x:v>
      </x:c>
      <x:c r="G247" s="126" t="n">
        <x:f>D247/F247*10000</x:f>
        <x:v>55.190816945838584</x:v>
      </x:c>
      <x:c r="H247" s="127" t="n">
        <x:f>1+COUNTIFS($C$4:$C$802,C247,$G$4:$G$802,"&gt;"&amp;G247)</x:f>
        <x:v>22</x:v>
      </x:c>
      <x:c r="I247" s="128" t="n">
        <x:f>D247/SUMIF($C$4:$C$802,C247,$D$4:$D$802)</x:f>
        <x:v>0.006114738033630304</x:v>
      </x:c>
      <x:c r="J247" s="103" t="n">
        <x:f>(D247/SUMIF($A$4:$A$802,A247,$D$4:$D$802))/(SUMIF($C$4:$C$802,C247,$D$4:$D$802)/SUM($D$4:$D$802))</x:f>
        <x:v>0.3527186364769831</x:v>
      </x:c>
    </x:row>
    <x:row r="248">
      <x:c r="A248" s="101" t="str">
        <x:v>新潟県</x:v>
      </x:c>
      <x:c r="B248" s="101" t="str">
        <x:v>H</x:v>
      </x:c>
      <x:c r="C248" s="101" t="str">
        <x:v>運輸業，郵便業</x:v>
      </x:c>
      <x:c r="D248" s="102" t="n">
        <x:v>52579</x:v>
      </x:c>
      <x:c r="E248" s="102" t="n">
        <x:f>1+COUNTIFS($C$4:$C$802,C248,$D$4:$D$802,"&gt;"&amp;D248)</x:f>
        <x:v>16</x:v>
      </x:c>
      <x:c r="F248" s="102" t="n">
        <x:v>2201272</x:v>
      </x:c>
      <x:c r="G248" s="126" t="n">
        <x:f>D248/F248*10000</x:f>
        <x:v>238.85735156763909</x:v>
      </x:c>
      <x:c r="H248" s="127" t="n">
        <x:f>1+COUNTIFS($C$4:$C$802,C248,$G$4:$G$802,"&gt;"&amp;G248)</x:f>
        <x:v>23</x:v>
      </x:c>
      <x:c r="I248" s="128" t="n">
        <x:f>D248/SUMIF($C$4:$C$802,C248,$D$4:$D$802)</x:f>
        <x:v>0.016105140571942463</x:v>
      </x:c>
      <x:c r="J248" s="103" t="n">
        <x:f>(D248/SUMIF($A$4:$A$802,A248,$D$4:$D$802))/(SUMIF($C$4:$C$802,C248,$D$4:$D$802)/SUM($D$4:$D$802))</x:f>
        <x:v>0.9289986245630114</x:v>
      </x:c>
    </x:row>
    <x:row r="249">
      <x:c r="A249" s="101" t="str">
        <x:v>新潟県</x:v>
      </x:c>
      <x:c r="B249" s="101" t="str">
        <x:v>I</x:v>
      </x:c>
      <x:c r="C249" s="101" t="str">
        <x:v>卸売業，小売業</x:v>
      </x:c>
      <x:c r="D249" s="102" t="n">
        <x:v>203321</x:v>
      </x:c>
      <x:c r="E249" s="102" t="n">
        <x:f>1+COUNTIFS($C$4:$C$802,C249,$D$4:$D$802,"&gt;"&amp;D249)</x:f>
        <x:v>15</x:v>
      </x:c>
      <x:c r="F249" s="102" t="n">
        <x:v>2201272</x:v>
      </x:c>
      <x:c r="G249" s="126" t="n">
        <x:f>D249/F249*10000</x:f>
        <x:v>923.6523246559262</x:v>
      </x:c>
      <x:c r="H249" s="127" t="n">
        <x:f>1+COUNTIFS($C$4:$C$802,C249,$G$4:$G$802,"&gt;"&amp;G249)</x:f>
        <x:v>10</x:v>
      </x:c>
      <x:c r="I249" s="128" t="n">
        <x:f>D249/SUMIF($C$4:$C$802,C249,$D$4:$D$802)</x:f>
        <x:v>0.017509673676817036</x:v>
      </x:c>
      <x:c r="J249" s="103" t="n">
        <x:f>(D249/SUMIF($A$4:$A$802,A249,$D$4:$D$802))/(SUMIF($C$4:$C$802,C249,$D$4:$D$802)/SUM($D$4:$D$802))</x:f>
        <x:v>1.0100168135538525</x:v>
      </x:c>
    </x:row>
    <x:row r="250">
      <x:c r="A250" s="101" t="str">
        <x:v>新潟県</x:v>
      </x:c>
      <x:c r="B250" s="101" t="str">
        <x:v>J</x:v>
      </x:c>
      <x:c r="C250" s="101" t="str">
        <x:v>金融業，保険業</x:v>
      </x:c>
      <x:c r="D250" s="102" t="n">
        <x:v>21829</x:v>
      </x:c>
      <x:c r="E250" s="102" t="n">
        <x:f>1+COUNTIFS($C$4:$C$802,C250,$D$4:$D$802,"&gt;"&amp;D250)</x:f>
        <x:v>15</x:v>
      </x:c>
      <x:c r="F250" s="102" t="n">
        <x:v>2201272</x:v>
      </x:c>
      <x:c r="G250" s="126" t="n">
        <x:f>D250/F250*10000</x:f>
        <x:v>99.16539164628452</x:v>
      </x:c>
      <x:c r="H250" s="127" t="n">
        <x:f>1+COUNTIFS($C$4:$C$802,C250,$G$4:$G$802,"&gt;"&amp;G250)</x:f>
        <x:v>24</x:v>
      </x:c>
      <x:c r="I250" s="128" t="n">
        <x:f>D250/SUMIF($C$4:$C$802,C250,$D$4:$D$802)</x:f>
        <x:v>0.014606848336094687</x:v>
      </x:c>
      <x:c r="J250" s="103" t="n">
        <x:f>(D250/SUMIF($A$4:$A$802,A250,$D$4:$D$802))/(SUMIF($C$4:$C$802,C250,$D$4:$D$802)/SUM($D$4:$D$802))</x:f>
        <x:v>0.8425720938489027</x:v>
      </x:c>
    </x:row>
    <x:row r="251">
      <x:c r="A251" s="101" t="str">
        <x:v>新潟県</x:v>
      </x:c>
      <x:c r="B251" s="101" t="str">
        <x:v>K</x:v>
      </x:c>
      <x:c r="C251" s="101" t="str">
        <x:v>不動産業，物品賃貸業</x:v>
      </x:c>
      <x:c r="D251" s="102" t="n">
        <x:v>17680</x:v>
      </x:c>
      <x:c r="E251" s="102" t="n">
        <x:f>1+COUNTIFS($C$4:$C$802,C251,$D$4:$D$802,"&gt;"&amp;D251)</x:f>
        <x:v>18</x:v>
      </x:c>
      <x:c r="F251" s="102" t="n">
        <x:v>2201272</x:v>
      </x:c>
      <x:c r="G251" s="126" t="n">
        <x:f>D251/F251*10000</x:f>
        <x:v>80.31719841982272</x:v>
      </x:c>
      <x:c r="H251" s="127" t="n">
        <x:f>1+COUNTIFS($C$4:$C$802,C251,$G$4:$G$802,"&gt;"&amp;G251)</x:f>
        <x:v>34</x:v>
      </x:c>
      <x:c r="I251" s="128" t="n">
        <x:f>D251/SUMIF($C$4:$C$802,C251,$D$4:$D$802)</x:f>
        <x:v>0.010926138561729594</x:v>
      </x:c>
      <x:c r="J251" s="103" t="n">
        <x:f>(D251/SUMIF($A$4:$A$802,A251,$D$4:$D$802))/(SUMIF($C$4:$C$802,C251,$D$4:$D$802)/SUM($D$4:$D$802))</x:f>
        <x:v>0.6302563861699607</x:v>
      </x:c>
    </x:row>
    <x:row r="252">
      <x:c r="A252" s="101" t="str">
        <x:v>新潟県</x:v>
      </x:c>
      <x:c r="B252" s="101" t="str">
        <x:v>L</x:v>
      </x:c>
      <x:c r="C252" s="101" t="str">
        <x:v>学術研究，専門・技術サービス業</x:v>
      </x:c>
      <x:c r="D252" s="102" t="n">
        <x:v>22868</x:v>
      </x:c>
      <x:c r="E252" s="102" t="n">
        <x:f>1+COUNTIFS($C$4:$C$802,C252,$D$4:$D$802,"&gt;"&amp;D252)</x:f>
        <x:v>18</x:v>
      </x:c>
      <x:c r="F252" s="102" t="n">
        <x:v>2201272</x:v>
      </x:c>
      <x:c r="G252" s="126" t="n">
        <x:f>D252/F252*10000</x:f>
        <x:v>103.88538990183858</x:v>
      </x:c>
      <x:c r="H252" s="127" t="n">
        <x:f>1+COUNTIFS($C$4:$C$802,C252,$G$4:$G$802,"&gt;"&amp;G252)</x:f>
        <x:v>27</x:v>
      </x:c>
      <x:c r="I252" s="128" t="n">
        <x:f>D252/SUMIF($C$4:$C$802,C252,$D$4:$D$802)</x:f>
        <x:v>0.010792290412096728</x:v>
      </x:c>
      <x:c r="J252" s="103" t="n">
        <x:f>(D252/SUMIF($A$4:$A$802,A252,$D$4:$D$802))/(SUMIF($C$4:$C$802,C252,$D$4:$D$802)/SUM($D$4:$D$802))</x:f>
        <x:v>0.6225355751435818</x:v>
      </x:c>
    </x:row>
    <x:row r="253">
      <x:c r="A253" s="101" t="str">
        <x:v>新潟県</x:v>
      </x:c>
      <x:c r="B253" s="101" t="str">
        <x:v>M</x:v>
      </x:c>
      <x:c r="C253" s="101" t="str">
        <x:v>宿泊業，飲食サービス業</x:v>
      </x:c>
      <x:c r="D253" s="102" t="n">
        <x:v>74052</x:v>
      </x:c>
      <x:c r="E253" s="102" t="n">
        <x:f>1+COUNTIFS($C$4:$C$802,C253,$D$4:$D$802,"&gt;"&amp;D253)</x:f>
        <x:v>16</x:v>
      </x:c>
      <x:c r="F253" s="102" t="n">
        <x:v>2201272</x:v>
      </x:c>
      <x:c r="G253" s="126" t="n">
        <x:f>D253/F253*10000</x:f>
        <x:v>336.4054964584113</x:v>
      </x:c>
      <x:c r="H253" s="127" t="n">
        <x:f>1+COUNTIFS($C$4:$C$802,C253,$G$4:$G$802,"&gt;"&amp;G253)</x:f>
        <x:v>29</x:v>
      </x:c>
      <x:c r="I253" s="128" t="n">
        <x:f>D253/SUMIF($C$4:$C$802,C253,$D$4:$D$802)</x:f>
        <x:v>0.015827341512317742</x:v>
      </x:c>
      <x:c r="J253" s="103" t="n">
        <x:f>(D253/SUMIF($A$4:$A$802,A253,$D$4:$D$802))/(SUMIF($C$4:$C$802,C253,$D$4:$D$802)/SUM($D$4:$D$802))</x:f>
        <x:v>0.912974241345527</x:v>
      </x:c>
    </x:row>
    <x:row r="254">
      <x:c r="A254" s="101" t="str">
        <x:v>新潟県</x:v>
      </x:c>
      <x:c r="B254" s="101" t="str">
        <x:v>N</x:v>
      </x:c>
      <x:c r="C254" s="101" t="str">
        <x:v>生活関連サービス業，娯楽業</x:v>
      </x:c>
      <x:c r="D254" s="102" t="n">
        <x:v>38979</x:v>
      </x:c>
      <x:c r="E254" s="102" t="n">
        <x:f>1+COUNTIFS($C$4:$C$802,C254,$D$4:$D$802,"&gt;"&amp;D254)</x:f>
        <x:v>14</x:v>
      </x:c>
      <x:c r="F254" s="102" t="n">
        <x:v>2201272</x:v>
      </x:c>
      <x:c r="G254" s="126" t="n">
        <x:f>D254/F254*10000</x:f>
        <x:v>177.0748912446985</x:v>
      </x:c>
      <x:c r="H254" s="127" t="n">
        <x:f>1+COUNTIFS($C$4:$C$802,C254,$G$4:$G$802,"&gt;"&amp;G254)</x:f>
        <x:v>8</x:v>
      </x:c>
      <x:c r="I254" s="128" t="n">
        <x:f>D254/SUMIF($C$4:$C$802,C254,$D$4:$D$802)</x:f>
        <x:v>0.0179119991875519</x:v>
      </x:c>
      <x:c r="J254" s="103" t="n">
        <x:f>(D254/SUMIF($A$4:$A$802,A254,$D$4:$D$802))/(SUMIF($C$4:$C$802,C254,$D$4:$D$802)/SUM($D$4:$D$802))</x:f>
        <x:v>1.0332243009042232</x:v>
      </x:c>
    </x:row>
    <x:row r="255">
      <x:c r="A255" s="101" t="str">
        <x:v>新潟県</x:v>
      </x:c>
      <x:c r="B255" s="101" t="str">
        <x:v>O</x:v>
      </x:c>
      <x:c r="C255" s="101" t="str">
        <x:v>教育，学習支援業</x:v>
      </x:c>
      <x:c r="D255" s="102" t="n">
        <x:v>29551</x:v>
      </x:c>
      <x:c r="E255" s="102" t="n">
        <x:f>1+COUNTIFS($C$4:$C$802,C255,$D$4:$D$802,"&gt;"&amp;D255)</x:f>
        <x:v>15</x:v>
      </x:c>
      <x:c r="F255" s="102" t="n">
        <x:v>2201272</x:v>
      </x:c>
      <x:c r="G255" s="126" t="n">
        <x:f>D255/F255*10000</x:f>
        <x:v>134.24510919141298</x:v>
      </x:c>
      <x:c r="H255" s="127" t="n">
        <x:f>1+COUNTIFS($C$4:$C$802,C255,$G$4:$G$802,"&gt;"&amp;G255)</x:f>
        <x:v>23</x:v>
      </x:c>
      <x:c r="I255" s="128" t="n">
        <x:f>D255/SUMIF($C$4:$C$802,C255,$D$4:$D$802)</x:f>
        <x:v>0.01514865686454432</x:v>
      </x:c>
      <x:c r="J255" s="103" t="n">
        <x:f>(D255/SUMIF($A$4:$A$802,A255,$D$4:$D$802))/(SUMIF($C$4:$C$802,C255,$D$4:$D$802)/SUM($D$4:$D$802))</x:f>
        <x:v>0.8738254303508585</x:v>
      </x:c>
    </x:row>
    <x:row r="256">
      <x:c r="A256" s="101" t="str">
        <x:v>新潟県</x:v>
      </x:c>
      <x:c r="B256" s="101" t="str">
        <x:v>P</x:v>
      </x:c>
      <x:c r="C256" s="101" t="str">
        <x:v>医療，福祉</x:v>
      </x:c>
      <x:c r="D256" s="102" t="n">
        <x:v>135383</x:v>
      </x:c>
      <x:c r="E256" s="102" t="n">
        <x:f>1+COUNTIFS($C$4:$C$802,C256,$D$4:$D$802,"&gt;"&amp;D256)</x:f>
        <x:v>16</x:v>
      </x:c>
      <x:c r="F256" s="102" t="n">
        <x:v>2201272</x:v>
      </x:c>
      <x:c r="G256" s="126" t="n">
        <x:f>D256/F256*10000</x:f>
        <x:v>615.0216783750486</x:v>
      </x:c>
      <x:c r="H256" s="127" t="n">
        <x:f>1+COUNTIFS($C$4:$C$802,C256,$G$4:$G$802,"&gt;"&amp;G256)</x:f>
        <x:v>32</x:v>
      </x:c>
      <x:c r="I256" s="128" t="n">
        <x:f>D256/SUMIF($C$4:$C$802,C256,$D$4:$D$802)</x:f>
        <x:v>0.016586179698662086</x:v>
      </x:c>
      <x:c r="J256" s="103" t="n">
        <x:f>(D256/SUMIF($A$4:$A$802,A256,$D$4:$D$802))/(SUMIF($C$4:$C$802,C256,$D$4:$D$802)/SUM($D$4:$D$802))</x:f>
        <x:v>0.9567465777762892</x:v>
      </x:c>
    </x:row>
    <x:row r="257">
      <x:c r="A257" s="101" t="str">
        <x:v>新潟県</x:v>
      </x:c>
      <x:c r="B257" s="101" t="str">
        <x:v>Q</x:v>
      </x:c>
      <x:c r="C257" s="101" t="str">
        <x:v>複合サービス事業</x:v>
      </x:c>
      <x:c r="D257" s="102" t="n">
        <x:v>9757</x:v>
      </x:c>
      <x:c r="E257" s="102" t="n">
        <x:f>1+COUNTIFS($C$4:$C$802,C257,$D$4:$D$802,"&gt;"&amp;D257)</x:f>
        <x:v>16</x:v>
      </x:c>
      <x:c r="F257" s="102" t="n">
        <x:v>2201272</x:v>
      </x:c>
      <x:c r="G257" s="126" t="n">
        <x:f>D257/F257*10000</x:f>
        <x:v>44.32437245374492</x:v>
      </x:c>
      <x:c r="H257" s="127" t="n">
        <x:f>1+COUNTIFS($C$4:$C$802,C257,$G$4:$G$802,"&gt;"&amp;G257)</x:f>
        <x:v>22</x:v>
      </x:c>
      <x:c r="I257" s="128" t="n">
        <x:f>D257/SUMIF($C$4:$C$802,C257,$D$4:$D$802)</x:f>
        <x:v>0.022379980273872054</x:v>
      </x:c>
      <x:c r="J257" s="103" t="n">
        <x:f>(D257/SUMIF($A$4:$A$802,A257,$D$4:$D$802))/(SUMIF($C$4:$C$802,C257,$D$4:$D$802)/SUM($D$4:$D$802))</x:f>
        <x:v>1.2909524632399305</x:v>
      </x:c>
    </x:row>
    <x:row r="258">
      <x:c r="A258" s="101" t="str">
        <x:v>新潟県</x:v>
      </x:c>
      <x:c r="B258" s="101" t="str">
        <x:v>R</x:v>
      </x:c>
      <x:c r="C258" s="101" t="str">
        <x:v>サービス業（他に分類されないもの）</x:v>
      </x:c>
      <x:c r="D258" s="102" t="n">
        <x:v>71506</x:v>
      </x:c>
      <x:c r="E258" s="102" t="n">
        <x:f>1+COUNTIFS($C$4:$C$802,C258,$D$4:$D$802,"&gt;"&amp;D258)</x:f>
        <x:v>15</x:v>
      </x:c>
      <x:c r="F258" s="102" t="n">
        <x:v>2201272</x:v>
      </x:c>
      <x:c r="G258" s="126" t="n">
        <x:f>D258/F258*10000</x:f>
        <x:v>324.83945645971966</x:v>
      </x:c>
      <x:c r="H258" s="127" t="n">
        <x:f>1+COUNTIFS($C$4:$C$802,C258,$G$4:$G$802,"&gt;"&amp;G258)</x:f>
        <x:v>28</x:v>
      </x:c>
      <x:c r="I258" s="128" t="n">
        <x:f>D258/SUMIF($C$4:$C$802,C258,$D$4:$D$802)</x:f>
        <x:v>0.013660946935590888</x:v>
      </x:c>
      <x:c r="J258" s="103" t="n">
        <x:f>(D258/SUMIF($A$4:$A$802,A258,$D$4:$D$802))/(SUMIF($C$4:$C$802,C258,$D$4:$D$802)/SUM($D$4:$D$802))</x:f>
        <x:v>0.7880093226570043</x:v>
      </x:c>
    </x:row>
    <x:row r="259">
      <x:c r="A259" s="101" t="str">
        <x:v>富山県</x:v>
      </x:c>
      <x:c r="B259" s="101" t="str">
        <x:v>AB</x:v>
      </x:c>
      <x:c r="C259" s="101" t="str">
        <x:v>農林漁業</x:v>
      </x:c>
      <x:c r="D259" s="102" t="n">
        <x:v>11923</x:v>
      </x:c>
      <x:c r="E259" s="102" t="n">
        <x:f>1+COUNTIFS($C$4:$C$802,C259,$D$4:$D$802,"&gt;"&amp;D259)</x:f>
        <x:v>10</x:v>
      </x:c>
      <x:c r="F259" s="102" t="n">
        <x:v>1034814</x:v>
      </x:c>
      <x:c r="G259" s="126" t="n">
        <x:f>D259/F259*10000</x:f>
        <x:v>115.21877361535503</x:v>
      </x:c>
      <x:c r="H259" s="127" t="n">
        <x:f>1+COUNTIFS($C$4:$C$802,C259,$G$4:$G$802,"&gt;"&amp;G259)</x:f>
        <x:v>3</x:v>
      </x:c>
      <x:c r="I259" s="128" t="n">
        <x:f>D259/SUMIF($C$4:$C$802,C259,$D$4:$D$802)</x:f>
        <x:v>0.02627930606586247</x:v>
      </x:c>
      <x:c r="J259" s="103" t="n">
        <x:f>(D259/SUMIF($A$4:$A$802,A259,$D$4:$D$802))/(SUMIF($C$4:$C$802,C259,$D$4:$D$802)/SUM($D$4:$D$802))</x:f>
        <x:v>2.9961331635638304</x:v>
      </x:c>
    </x:row>
    <x:row r="260">
      <x:c r="A260" s="101" t="str">
        <x:v>富山県</x:v>
      </x:c>
      <x:c r="B260" s="101" t="str">
        <x:v>C</x:v>
      </x:c>
      <x:c r="C260" s="101" t="str">
        <x:v>鉱業，採石業，砂利採取業</x:v>
      </x:c>
      <x:c r="D260" s="102" t="n">
        <x:v>234</x:v>
      </x:c>
      <x:c r="E260" s="102" t="n">
        <x:f>1+COUNTIFS($C$4:$C$802,C260,$D$4:$D$802,"&gt;"&amp;D260)</x:f>
        <x:v>31</x:v>
      </x:c>
      <x:c r="F260" s="102" t="n">
        <x:v>1034814</x:v>
      </x:c>
      <x:c r="G260" s="126" t="n">
        <x:f>D260/F260*10000</x:f>
        <x:v>2.26127593944419</x:v>
      </x:c>
      <x:c r="H260" s="127" t="n">
        <x:f>1+COUNTIFS($C$4:$C$802,C260,$G$4:$G$802,"&gt;"&amp;G260)</x:f>
        <x:v>20</x:v>
      </x:c>
      <x:c r="I260" s="128" t="n">
        <x:f>D260/SUMIF($C$4:$C$802,C260,$D$4:$D$802)</x:f>
        <x:v>0.01187998172310504</x:v>
      </x:c>
      <x:c r="J260" s="103" t="n">
        <x:f>(D260/SUMIF($A$4:$A$802,A260,$D$4:$D$802))/(SUMIF($C$4:$C$802,C260,$D$4:$D$802)/SUM($D$4:$D$802))</x:f>
        <x:v>1.3544500427035542</x:v>
      </x:c>
    </x:row>
    <x:row r="261">
      <x:c r="A261" s="101" t="str">
        <x:v>富山県</x:v>
      </x:c>
      <x:c r="B261" s="101" t="str">
        <x:v>D</x:v>
      </x:c>
      <x:c r="C261" s="101" t="str">
        <x:v>建設業</x:v>
      </x:c>
      <x:c r="D261" s="102" t="n">
        <x:v>38526</x:v>
      </x:c>
      <x:c r="E261" s="102" t="n">
        <x:f>1+COUNTIFS($C$4:$C$802,C261,$D$4:$D$802,"&gt;"&amp;D261)</x:f>
        <x:v>32</x:v>
      </x:c>
      <x:c r="F261" s="102" t="n">
        <x:v>1034814</x:v>
      </x:c>
      <x:c r="G261" s="126" t="n">
        <x:f>D261/F261*10000</x:f>
        <x:v>372.29878992746524</x:v>
      </x:c>
      <x:c r="H261" s="127" t="n">
        <x:f>1+COUNTIFS($C$4:$C$802,C261,$G$4:$G$802,"&gt;"&amp;G261)</x:f>
        <x:v>10</x:v>
      </x:c>
      <x:c r="I261" s="128" t="n">
        <x:f>D261/SUMIF($C$4:$C$802,C261,$D$4:$D$802)</x:f>
        <x:v>0.010308194300071039</x:v>
      </x:c>
      <x:c r="J261" s="103" t="n">
        <x:f>(D261/SUMIF($A$4:$A$802,A261,$D$4:$D$802))/(SUMIF($C$4:$C$802,C261,$D$4:$D$802)/SUM($D$4:$D$802))</x:f>
        <x:v>1.1752487954399442</x:v>
      </x:c>
    </x:row>
    <x:row r="262">
      <x:c r="A262" s="101" t="str">
        <x:v>富山県</x:v>
      </x:c>
      <x:c r="B262" s="101" t="str">
        <x:v>E</x:v>
      </x:c>
      <x:c r="C262" s="101" t="str">
        <x:v>製造業</x:v>
      </x:c>
      <x:c r="D262" s="102" t="n">
        <x:v>131286</x:v>
      </x:c>
      <x:c r="E262" s="102" t="n">
        <x:f>1+COUNTIFS($C$4:$C$802,C262,$D$4:$D$802,"&gt;"&amp;D262)</x:f>
        <x:v>23</x:v>
      </x:c>
      <x:c r="F262" s="102" t="n">
        <x:v>1034814</x:v>
      </x:c>
      <x:c r="G262" s="126" t="n">
        <x:f>D262/F262*10000</x:f>
        <x:v>1268.6917648968802</x:v>
      </x:c>
      <x:c r="H262" s="127" t="n">
        <x:f>1+COUNTIFS($C$4:$C$802,C262,$G$4:$G$802,"&gt;"&amp;G262)</x:f>
        <x:v>1</x:v>
      </x:c>
      <x:c r="I262" s="128" t="n">
        <x:f>D262/SUMIF($C$4:$C$802,C262,$D$4:$D$802)</x:f>
        <x:v>0.014912690121578078</x:v>
      </x:c>
      <x:c r="J262" s="103" t="n">
        <x:f>(D262/SUMIF($A$4:$A$802,A262,$D$4:$D$802))/(SUMIF($C$4:$C$802,C262,$D$4:$D$802)/SUM($D$4:$D$802))</x:f>
        <x:v>1.7002125291752612</x:v>
      </x:c>
    </x:row>
    <x:row r="263">
      <x:c r="A263" s="101" t="str">
        <x:v>富山県</x:v>
      </x:c>
      <x:c r="B263" s="101" t="str">
        <x:v>F</x:v>
      </x:c>
      <x:c r="C263" s="101" t="str">
        <x:v>電気・ガス・熱供給・水道業</x:v>
      </x:c>
      <x:c r="D263" s="102" t="n">
        <x:v>3923</x:v>
      </x:c>
      <x:c r="E263" s="102" t="n">
        <x:f>1+COUNTIFS($C$4:$C$802,C263,$D$4:$D$802,"&gt;"&amp;D263)</x:f>
        <x:v>15</x:v>
      </x:c>
      <x:c r="F263" s="102" t="n">
        <x:v>1034814</x:v>
      </x:c>
      <x:c r="G263" s="126" t="n">
        <x:f>D263/F263*10000</x:f>
        <x:v>37.910194489057936</x:v>
      </x:c>
      <x:c r="H263" s="127" t="n">
        <x:f>1+COUNTIFS($C$4:$C$802,C263,$G$4:$G$802,"&gt;"&amp;G263)</x:f>
        <x:v>2</x:v>
      </x:c>
      <x:c r="I263" s="128" t="n">
        <x:f>D263/SUMIF($C$4:$C$802,C263,$D$4:$D$802)</x:f>
        <x:v>0.019406477400333418</x:v>
      </x:c>
      <x:c r="J263" s="103" t="n">
        <x:f>(D263/SUMIF($A$4:$A$802,A263,$D$4:$D$802))/(SUMIF($C$4:$C$802,C263,$D$4:$D$802)/SUM($D$4:$D$802))</x:f>
        <x:v>2.212554257763377</x:v>
      </x:c>
    </x:row>
    <x:row r="264">
      <x:c r="A264" s="101" t="str">
        <x:v>富山県</x:v>
      </x:c>
      <x:c r="B264" s="101" t="str">
        <x:v>G</x:v>
      </x:c>
      <x:c r="C264" s="101" t="str">
        <x:v>情報通信業</x:v>
      </x:c>
      <x:c r="D264" s="102" t="n">
        <x:v>7665</x:v>
      </x:c>
      <x:c r="E264" s="102" t="n">
        <x:f>1+COUNTIFS($C$4:$C$802,C264,$D$4:$D$802,"&gt;"&amp;D264)</x:f>
        <x:v>23</x:v>
      </x:c>
      <x:c r="F264" s="102" t="n">
        <x:v>1034814</x:v>
      </x:c>
      <x:c r="G264" s="126" t="n">
        <x:f>D264/F264*10000</x:f>
        <x:v>74.0712823753834</x:v>
      </x:c>
      <x:c r="H264" s="127" t="n">
        <x:f>1+COUNTIFS($C$4:$C$802,C264,$G$4:$G$802,"&gt;"&amp;G264)</x:f>
        <x:v>12</x:v>
      </x:c>
      <x:c r="I264" s="128" t="n">
        <x:f>D264/SUMIF($C$4:$C$802,C264,$D$4:$D$802)</x:f>
        <x:v>0.003857886824246957</x:v>
      </x:c>
      <x:c r="J264" s="103" t="n">
        <x:f>(D264/SUMIF($A$4:$A$802,A264,$D$4:$D$802))/(SUMIF($C$4:$C$802,C264,$D$4:$D$802)/SUM($D$4:$D$802))</x:f>
        <x:v>0.43984200444384547</x:v>
      </x:c>
    </x:row>
    <x:row r="265">
      <x:c r="A265" s="101" t="str">
        <x:v>富山県</x:v>
      </x:c>
      <x:c r="B265" s="101" t="str">
        <x:v>H</x:v>
      </x:c>
      <x:c r="C265" s="101" t="str">
        <x:v>運輸業，郵便業</x:v>
      </x:c>
      <x:c r="D265" s="102" t="n">
        <x:v>22964</x:v>
      </x:c>
      <x:c r="E265" s="102" t="n">
        <x:f>1+COUNTIFS($C$4:$C$802,C265,$D$4:$D$802,"&gt;"&amp;D265)</x:f>
        <x:v>34</x:v>
      </x:c>
      <x:c r="F265" s="102" t="n">
        <x:v>1034814</x:v>
      </x:c>
      <x:c r="G265" s="126" t="n">
        <x:f>D265/F265*10000</x:f>
        <x:v>221.9142763820358</x:v>
      </x:c>
      <x:c r="H265" s="127" t="n">
        <x:f>1+COUNTIFS($C$4:$C$802,C265,$G$4:$G$802,"&gt;"&amp;G265)</x:f>
        <x:v>29</x:v>
      </x:c>
      <x:c r="I265" s="128" t="n">
        <x:f>D265/SUMIF($C$4:$C$802,C265,$D$4:$D$802)</x:f>
        <x:v>0.007033957437267477</x:v>
      </x:c>
      <x:c r="J265" s="103" t="n">
        <x:f>(D265/SUMIF($A$4:$A$802,A265,$D$4:$D$802))/(SUMIF($C$4:$C$802,C265,$D$4:$D$802)/SUM($D$4:$D$802))</x:f>
        <x:v>0.8019493778136749</x:v>
      </x:c>
    </x:row>
    <x:row r="266">
      <x:c r="A266" s="101" t="str">
        <x:v>富山県</x:v>
      </x:c>
      <x:c r="B266" s="101" t="str">
        <x:v>I</x:v>
      </x:c>
      <x:c r="C266" s="101" t="str">
        <x:v>卸売業，小売業</x:v>
      </x:c>
      <x:c r="D266" s="102" t="n">
        <x:v>91281</x:v>
      </x:c>
      <x:c r="E266" s="102" t="n">
        <x:f>1+COUNTIFS($C$4:$C$802,C266,$D$4:$D$802,"&gt;"&amp;D266)</x:f>
        <x:v>34</x:v>
      </x:c>
      <x:c r="F266" s="102" t="n">
        <x:v>1034814</x:v>
      </x:c>
      <x:c r="G266" s="126" t="n">
        <x:f>D266/F266*10000</x:f>
        <x:v>882.1005514034407</x:v>
      </x:c>
      <x:c r="H266" s="127" t="n">
        <x:f>1+COUNTIFS($C$4:$C$802,C266,$G$4:$G$802,"&gt;"&amp;G266)</x:f>
        <x:v>12</x:v>
      </x:c>
      <x:c r="I266" s="128" t="n">
        <x:f>D266/SUMIF($C$4:$C$802,C266,$D$4:$D$802)</x:f>
        <x:v>0.007860971187892722</x:v>
      </x:c>
      <x:c r="J266" s="103" t="n">
        <x:f>(D266/SUMIF($A$4:$A$802,A266,$D$4:$D$802))/(SUMIF($C$4:$C$802,C266,$D$4:$D$802)/SUM($D$4:$D$802))</x:f>
        <x:v>0.8962381432309012</x:v>
      </x:c>
    </x:row>
    <x:row r="267">
      <x:c r="A267" s="101" t="str">
        <x:v>富山県</x:v>
      </x:c>
      <x:c r="B267" s="101" t="str">
        <x:v>J</x:v>
      </x:c>
      <x:c r="C267" s="101" t="str">
        <x:v>金融業，保険業</x:v>
      </x:c>
      <x:c r="D267" s="102" t="n">
        <x:v>12135</x:v>
      </x:c>
      <x:c r="E267" s="102" t="n">
        <x:f>1+COUNTIFS($C$4:$C$802,C267,$D$4:$D$802,"&gt;"&amp;D267)</x:f>
        <x:v>30</x:v>
      </x:c>
      <x:c r="F267" s="102" t="n">
        <x:v>1034814</x:v>
      </x:c>
      <x:c r="G267" s="126" t="n">
        <x:f>D267/F267*10000</x:f>
        <x:v>117.2674509622019</x:v>
      </x:c>
      <x:c r="H267" s="127" t="n">
        <x:f>1+COUNTIFS($C$4:$C$802,C267,$G$4:$G$802,"&gt;"&amp;G267)</x:f>
        <x:v>4</x:v>
      </x:c>
      <x:c r="I267" s="128" t="n">
        <x:f>D267/SUMIF($C$4:$C$802,C267,$D$4:$D$802)</x:f>
        <x:v>0.008120120232649642</x:v>
      </x:c>
      <x:c r="J267" s="103" t="n">
        <x:f>(D267/SUMIF($A$4:$A$802,A267,$D$4:$D$802))/(SUMIF($C$4:$C$802,C267,$D$4:$D$802)/SUM($D$4:$D$802))</x:f>
        <x:v>0.9257840165258862</x:v>
      </x:c>
    </x:row>
    <x:row r="268">
      <x:c r="A268" s="101" t="str">
        <x:v>富山県</x:v>
      </x:c>
      <x:c r="B268" s="101" t="str">
        <x:v>K</x:v>
      </x:c>
      <x:c r="C268" s="101" t="str">
        <x:v>不動産業，物品賃貸業</x:v>
      </x:c>
      <x:c r="D268" s="102" t="n">
        <x:v>8662</x:v>
      </x:c>
      <x:c r="E268" s="102" t="n">
        <x:f>1+COUNTIFS($C$4:$C$802,C268,$D$4:$D$802,"&gt;"&amp;D268)</x:f>
        <x:v>37</x:v>
      </x:c>
      <x:c r="F268" s="102" t="n">
        <x:v>1034814</x:v>
      </x:c>
      <x:c r="G268" s="126" t="n">
        <x:f>D268/F268*10000</x:f>
        <x:v>83.70586404899818</x:v>
      </x:c>
      <x:c r="H268" s="127" t="n">
        <x:f>1+COUNTIFS($C$4:$C$802,C268,$G$4:$G$802,"&gt;"&amp;G268)</x:f>
        <x:v>30</x:v>
      </x:c>
      <x:c r="I268" s="128" t="n">
        <x:f>D268/SUMIF($C$4:$C$802,C268,$D$4:$D$802)</x:f>
        <x:v>0.005353066302132451</x:v>
      </x:c>
      <x:c r="J268" s="103" t="n">
        <x:f>(D268/SUMIF($A$4:$A$802,A268,$D$4:$D$802))/(SUMIF($C$4:$C$802,C268,$D$4:$D$802)/SUM($D$4:$D$802))</x:f>
        <x:v>0.6103090939455773</x:v>
      </x:c>
    </x:row>
    <x:row r="269">
      <x:c r="A269" s="101" t="str">
        <x:v>富山県</x:v>
      </x:c>
      <x:c r="B269" s="101" t="str">
        <x:v>L</x:v>
      </x:c>
      <x:c r="C269" s="101" t="str">
        <x:v>学術研究，専門・技術サービス業</x:v>
      </x:c>
      <x:c r="D269" s="102" t="n">
        <x:v>11055</x:v>
      </x:c>
      <x:c r="E269" s="102" t="n">
        <x:f>1+COUNTIFS($C$4:$C$802,C269,$D$4:$D$802,"&gt;"&amp;D269)</x:f>
        <x:v>33</x:v>
      </x:c>
      <x:c r="F269" s="102" t="n">
        <x:v>1034814</x:v>
      </x:c>
      <x:c r="G269" s="126" t="n">
        <x:f>D269/F269*10000</x:f>
        <x:v>106.8307927801518</x:v>
      </x:c>
      <x:c r="H269" s="127" t="n">
        <x:f>1+COUNTIFS($C$4:$C$802,C269,$G$4:$G$802,"&gt;"&amp;G269)</x:f>
        <x:v>25</x:v>
      </x:c>
      <x:c r="I269" s="128" t="n">
        <x:f>D269/SUMIF($C$4:$C$802,C269,$D$4:$D$802)</x:f>
        <x:v>0.0052172805013875</x:v>
      </x:c>
      <x:c r="J269" s="103" t="n">
        <x:f>(D269/SUMIF($A$4:$A$802,A269,$D$4:$D$802))/(SUMIF($C$4:$C$802,C269,$D$4:$D$802)/SUM($D$4:$D$802))</x:f>
        <x:v>0.5948280024839764</x:v>
      </x:c>
    </x:row>
    <x:row r="270">
      <x:c r="A270" s="101" t="str">
        <x:v>富山県</x:v>
      </x:c>
      <x:c r="B270" s="101" t="str">
        <x:v>M</x:v>
      </x:c>
      <x:c r="C270" s="101" t="str">
        <x:v>宿泊業，飲食サービス業</x:v>
      </x:c>
      <x:c r="D270" s="102" t="n">
        <x:v>33986</x:v>
      </x:c>
      <x:c r="E270" s="102" t="n">
        <x:f>1+COUNTIFS($C$4:$C$802,C270,$D$4:$D$802,"&gt;"&amp;D270)</x:f>
        <x:v>38</x:v>
      </x:c>
      <x:c r="F270" s="102" t="n">
        <x:v>1034814</x:v>
      </x:c>
      <x:c r="G270" s="126" t="n">
        <x:f>D270/F270*10000</x:f>
        <x:v>328.42617127329163</x:v>
      </x:c>
      <x:c r="H270" s="127" t="n">
        <x:f>1+COUNTIFS($C$4:$C$802,C270,$G$4:$G$802,"&gt;"&amp;G270)</x:f>
        <x:v>33</x:v>
      </x:c>
      <x:c r="I270" s="128" t="n">
        <x:f>D270/SUMIF($C$4:$C$802,C270,$D$4:$D$802)</x:f>
        <x:v>0.007263923035672646</x:v>
      </x:c>
      <x:c r="J270" s="103" t="n">
        <x:f>(D270/SUMIF($A$4:$A$802,A270,$D$4:$D$802))/(SUMIF($C$4:$C$802,C270,$D$4:$D$802)/SUM($D$4:$D$802))</x:f>
        <x:v>0.8281680136533621</x:v>
      </x:c>
    </x:row>
    <x:row r="271">
      <x:c r="A271" s="101" t="str">
        <x:v>富山県</x:v>
      </x:c>
      <x:c r="B271" s="101" t="str">
        <x:v>N</x:v>
      </x:c>
      <x:c r="C271" s="101" t="str">
        <x:v>生活関連サービス業，娯楽業</x:v>
      </x:c>
      <x:c r="D271" s="102" t="n">
        <x:v>17872</x:v>
      </x:c>
      <x:c r="E271" s="102" t="n">
        <x:f>1+COUNTIFS($C$4:$C$802,C271,$D$4:$D$802,"&gt;"&amp;D271)</x:f>
        <x:v>37</x:v>
      </x:c>
      <x:c r="F271" s="102" t="n">
        <x:v>1034814</x:v>
      </x:c>
      <x:c r="G271" s="126" t="n">
        <x:f>D271/F271*10000</x:f>
        <x:v>172.70736576814772</x:v>
      </x:c>
      <x:c r="H271" s="127" t="n">
        <x:f>1+COUNTIFS($C$4:$C$802,C271,$G$4:$G$802,"&gt;"&amp;G271)</x:f>
        <x:v>17</x:v>
      </x:c>
      <x:c r="I271" s="128" t="n">
        <x:f>D271/SUMIF($C$4:$C$802,C271,$D$4:$D$802)</x:f>
        <x:v>0.008212710677029363</x:v>
      </x:c>
      <x:c r="J271" s="103" t="n">
        <x:f>(D271/SUMIF($A$4:$A$802,A271,$D$4:$D$802))/(SUMIF($C$4:$C$802,C271,$D$4:$D$802)/SUM($D$4:$D$802))</x:f>
        <x:v>0.9363403569535947</x:v>
      </x:c>
    </x:row>
    <x:row r="272">
      <x:c r="A272" s="101" t="str">
        <x:v>富山県</x:v>
      </x:c>
      <x:c r="B272" s="101" t="str">
        <x:v>O</x:v>
      </x:c>
      <x:c r="C272" s="101" t="str">
        <x:v>教育，学習支援業</x:v>
      </x:c>
      <x:c r="D272" s="102" t="n">
        <x:v>14237</x:v>
      </x:c>
      <x:c r="E272" s="102" t="n">
        <x:f>1+COUNTIFS($C$4:$C$802,C272,$D$4:$D$802,"&gt;"&amp;D272)</x:f>
        <x:v>35</x:v>
      </x:c>
      <x:c r="F272" s="102" t="n">
        <x:v>1034814</x:v>
      </x:c>
      <x:c r="G272" s="126" t="n">
        <x:f>D272/F272*10000</x:f>
        <x:v>137.58028012763646</x:v>
      </x:c>
      <x:c r="H272" s="127" t="n">
        <x:f>1+COUNTIFS($C$4:$C$802,C272,$G$4:$G$802,"&gt;"&amp;G272)</x:f>
        <x:v>19</x:v>
      </x:c>
      <x:c r="I272" s="128" t="n">
        <x:f>D272/SUMIF($C$4:$C$802,C272,$D$4:$D$802)</x:f>
        <x:v>0.0072982784941463055</x:v>
      </x:c>
      <x:c r="J272" s="103" t="n">
        <x:f>(D272/SUMIF($A$4:$A$802,A272,$D$4:$D$802))/(SUMIF($C$4:$C$802,C272,$D$4:$D$802)/SUM($D$4:$D$802))</x:f>
        <x:v>0.8320849180124191</x:v>
      </x:c>
    </x:row>
    <x:row r="273">
      <x:c r="A273" s="101" t="str">
        <x:v>富山県</x:v>
      </x:c>
      <x:c r="B273" s="101" t="str">
        <x:v>P</x:v>
      </x:c>
      <x:c r="C273" s="101" t="str">
        <x:v>医療，福祉</x:v>
      </x:c>
      <x:c r="D273" s="102" t="n">
        <x:v>61144</x:v>
      </x:c>
      <x:c r="E273" s="102" t="n">
        <x:f>1+COUNTIFS($C$4:$C$802,C273,$D$4:$D$802,"&gt;"&amp;D273)</x:f>
        <x:v>40</x:v>
      </x:c>
      <x:c r="F273" s="102" t="n">
        <x:v>1034814</x:v>
      </x:c>
      <x:c r="G273" s="126" t="n">
        <x:f>D273/F273*10000</x:f>
        <x:v>590.8694702622887</x:v>
      </x:c>
      <x:c r="H273" s="127" t="n">
        <x:f>1+COUNTIFS($C$4:$C$802,C273,$G$4:$G$802,"&gt;"&amp;G273)</x:f>
        <x:v>39</x:v>
      </x:c>
      <x:c r="I273" s="128" t="n">
        <x:f>D273/SUMIF($C$4:$C$802,C273,$D$4:$D$802)</x:f>
        <x:v>0.007490935874481984</x:v>
      </x:c>
      <x:c r="J273" s="103" t="n">
        <x:f>(D273/SUMIF($A$4:$A$802,A273,$D$4:$D$802))/(SUMIF($C$4:$C$802,C273,$D$4:$D$802)/SUM($D$4:$D$802))</x:f>
        <x:v>0.8540500020592499</x:v>
      </x:c>
    </x:row>
    <x:row r="274">
      <x:c r="A274" s="101" t="str">
        <x:v>富山県</x:v>
      </x:c>
      <x:c r="B274" s="101" t="str">
        <x:v>Q</x:v>
      </x:c>
      <x:c r="C274" s="101" t="str">
        <x:v>複合サービス事業</x:v>
      </x:c>
      <x:c r="D274" s="102" t="n">
        <x:v>4236</x:v>
      </x:c>
      <x:c r="E274" s="102" t="n">
        <x:f>1+COUNTIFS($C$4:$C$802,C274,$D$4:$D$802,"&gt;"&amp;D274)</x:f>
        <x:v>39</x:v>
      </x:c>
      <x:c r="F274" s="102" t="n">
        <x:v>1034814</x:v>
      </x:c>
      <x:c r="G274" s="126" t="n">
        <x:f>D274/F274*10000</x:f>
        <x:v>40.93489264737431</x:v>
      </x:c>
      <x:c r="H274" s="127" t="n">
        <x:f>1+COUNTIFS($C$4:$C$802,C274,$G$4:$G$802,"&gt;"&amp;G274)</x:f>
        <x:v>28</x:v>
      </x:c>
      <x:c r="I274" s="128" t="n">
        <x:f>D274/SUMIF($C$4:$C$802,C274,$D$4:$D$802)</x:f>
        <x:v>0.009716264880611052</x:v>
      </x:c>
      <x:c r="J274" s="103" t="n">
        <x:f>(D274/SUMIF($A$4:$A$802,A274,$D$4:$D$802))/(SUMIF($C$4:$C$802,C274,$D$4:$D$802)/SUM($D$4:$D$802))</x:f>
        <x:v>1.1077622583263567</x:v>
      </x:c>
    </x:row>
    <x:row r="275">
      <x:c r="A275" s="101" t="str">
        <x:v>富山県</x:v>
      </x:c>
      <x:c r="B275" s="101" t="str">
        <x:v>R</x:v>
      </x:c>
      <x:c r="C275" s="101" t="str">
        <x:v>サービス業（他に分類されないもの）</x:v>
      </x:c>
      <x:c r="D275" s="102" t="n">
        <x:v>37154</x:v>
      </x:c>
      <x:c r="E275" s="102" t="n">
        <x:f>1+COUNTIFS($C$4:$C$802,C275,$D$4:$D$802,"&gt;"&amp;D275)</x:f>
        <x:v>32</x:v>
      </x:c>
      <x:c r="F275" s="102" t="n">
        <x:v>1034814</x:v>
      </x:c>
      <x:c r="G275" s="126" t="n">
        <x:f>D275/F275*10000</x:f>
        <x:v>359.0403686073053</x:v>
      </x:c>
      <x:c r="H275" s="127" t="n">
        <x:f>1+COUNTIFS($C$4:$C$802,C275,$G$4:$G$802,"&gt;"&amp;G275)</x:f>
        <x:v>14</x:v>
      </x:c>
      <x:c r="I275" s="128" t="n">
        <x:f>D275/SUMIF($C$4:$C$802,C275,$D$4:$D$802)</x:f>
        <x:v>0.007098129142239027</x:v>
      </x:c>
      <x:c r="J275" s="103" t="n">
        <x:f>(D275/SUMIF($A$4:$A$802,A275,$D$4:$D$802))/(SUMIF($C$4:$C$802,C275,$D$4:$D$802)/SUM($D$4:$D$802))</x:f>
        <x:v>0.8092656658825388</x:v>
      </x:c>
    </x:row>
    <x:row r="276">
      <x:c r="A276" s="101" t="str">
        <x:v>石川県</x:v>
      </x:c>
      <x:c r="B276" s="101" t="str">
        <x:v>AB</x:v>
      </x:c>
      <x:c r="C276" s="101" t="str">
        <x:v>農林漁業</x:v>
      </x:c>
      <x:c r="D276" s="102" t="n">
        <x:v>5304</x:v>
      </x:c>
      <x:c r="E276" s="102" t="n">
        <x:f>1+COUNTIFS($C$4:$C$802,C276,$D$4:$D$802,"&gt;"&amp;D276)</x:f>
        <x:v>38</x:v>
      </x:c>
      <x:c r="F276" s="102" t="n">
        <x:v>1132526</x:v>
      </x:c>
      <x:c r="G276" s="126" t="n">
        <x:f>D276/F276*10000</x:f>
        <x:v>46.833361883082596</x:v>
      </x:c>
      <x:c r="H276" s="127" t="n">
        <x:f>1+COUNTIFS($C$4:$C$802,C276,$G$4:$G$802,"&gt;"&amp;G276)</x:f>
        <x:v>29</x:v>
      </x:c>
      <x:c r="I276" s="128" t="n">
        <x:f>D276/SUMIF($C$4:$C$802,C276,$D$4:$D$802)</x:f>
        <x:v>0.011690467111744908</x:v>
      </x:c>
      <x:c r="J276" s="103" t="n">
        <x:f>(D276/SUMIF($A$4:$A$802,A276,$D$4:$D$802))/(SUMIF($C$4:$C$802,C276,$D$4:$D$802)/SUM($D$4:$D$802))</x:f>
        <x:v>1.2469038687242444</x:v>
      </x:c>
    </x:row>
    <x:row r="277">
      <x:c r="A277" s="101" t="str">
        <x:v>石川県</x:v>
      </x:c>
      <x:c r="B277" s="101" t="str">
        <x:v>C</x:v>
      </x:c>
      <x:c r="C277" s="101" t="str">
        <x:v>鉱業，採石業，砂利採取業</x:v>
      </x:c>
      <x:c r="D277" s="102" t="n">
        <x:v>158</x:v>
      </x:c>
      <x:c r="E277" s="102" t="n">
        <x:f>1+COUNTIFS($C$4:$C$802,C277,$D$4:$D$802,"&gt;"&amp;D277)</x:f>
        <x:v>37</x:v>
      </x:c>
      <x:c r="F277" s="102" t="n">
        <x:v>1132526</x:v>
      </x:c>
      <x:c r="G277" s="126" t="n">
        <x:f>D277/F277*10000</x:f>
        <x:v>1.3951114588097755</x:v>
      </x:c>
      <x:c r="H277" s="127" t="n">
        <x:f>1+COUNTIFS($C$4:$C$802,C277,$G$4:$G$802,"&gt;"&amp;G277)</x:f>
        <x:v>30</x:v>
      </x:c>
      <x:c r="I277" s="128" t="n">
        <x:f>D277/SUMIF($C$4:$C$802,C277,$D$4:$D$802)</x:f>
        <x:v>0.008021526120729046</x:v>
      </x:c>
      <x:c r="J277" s="103" t="n">
        <x:f>(D277/SUMIF($A$4:$A$802,A277,$D$4:$D$802))/(SUMIF($C$4:$C$802,C277,$D$4:$D$802)/SUM($D$4:$D$802))</x:f>
        <x:v>0.8555750473786439</x:v>
      </x:c>
    </x:row>
    <x:row r="278">
      <x:c r="A278" s="101" t="str">
        <x:v>石川県</x:v>
      </x:c>
      <x:c r="B278" s="101" t="str">
        <x:v>D</x:v>
      </x:c>
      <x:c r="C278" s="101" t="str">
        <x:v>建設業</x:v>
      </x:c>
      <x:c r="D278" s="102" t="n">
        <x:v>38327</x:v>
      </x:c>
      <x:c r="E278" s="102" t="n">
        <x:f>1+COUNTIFS($C$4:$C$802,C278,$D$4:$D$802,"&gt;"&amp;D278)</x:f>
        <x:v>34</x:v>
      </x:c>
      <x:c r="F278" s="102" t="n">
        <x:v>1132526</x:v>
      </x:c>
      <x:c r="G278" s="126" t="n">
        <x:f>D278/F278*10000</x:f>
        <x:v>338.42048659368527</x:v>
      </x:c>
      <x:c r="H278" s="127" t="n">
        <x:f>1+COUNTIFS($C$4:$C$802,C278,$G$4:$G$802,"&gt;"&amp;G278)</x:f>
        <x:v>14</x:v>
      </x:c>
      <x:c r="I278" s="128" t="n">
        <x:f>D278/SUMIF($C$4:$C$802,C278,$D$4:$D$802)</x:f>
        <x:v>0.010254948941982627</x:v>
      </x:c>
      <x:c r="J278" s="103" t="n">
        <x:f>(D278/SUMIF($A$4:$A$802,A278,$D$4:$D$802))/(SUMIF($C$4:$C$802,C278,$D$4:$D$802)/SUM($D$4:$D$802))</x:f>
        <x:v>1.0937916669284542</x:v>
      </x:c>
    </x:row>
    <x:row r="279">
      <x:c r="A279" s="101" t="str">
        <x:v>石川県</x:v>
      </x:c>
      <x:c r="B279" s="101" t="str">
        <x:v>E</x:v>
      </x:c>
      <x:c r="C279" s="101" t="str">
        <x:v>製造業</x:v>
      </x:c>
      <x:c r="D279" s="102" t="n">
        <x:v>108811</x:v>
      </x:c>
      <x:c r="E279" s="102" t="n">
        <x:f>1+COUNTIFS($C$4:$C$802,C279,$D$4:$D$802,"&gt;"&amp;D279)</x:f>
        <x:v>25</x:v>
      </x:c>
      <x:c r="F279" s="102" t="n">
        <x:v>1132526</x:v>
      </x:c>
      <x:c r="G279" s="126" t="n">
        <x:f>D279/F279*10000</x:f>
        <x:v>960.781474332598</x:v>
      </x:c>
      <x:c r="H279" s="127" t="n">
        <x:f>1+COUNTIFS($C$4:$C$802,C279,$G$4:$G$802,"&gt;"&amp;G279)</x:f>
        <x:v>14</x:v>
      </x:c>
      <x:c r="I279" s="128" t="n">
        <x:f>D279/SUMIF($C$4:$C$802,C279,$D$4:$D$802)</x:f>
        <x:v>0.012359769699884468</x:v>
      </x:c>
      <x:c r="J279" s="103" t="n">
        <x:f>(D279/SUMIF($A$4:$A$802,A279,$D$4:$D$802))/(SUMIF($C$4:$C$802,C279,$D$4:$D$802)/SUM($D$4:$D$802))</x:f>
        <x:v>1.3182916052895288</x:v>
      </x:c>
    </x:row>
    <x:row r="280">
      <x:c r="A280" s="101" t="str">
        <x:v>石川県</x:v>
      </x:c>
      <x:c r="B280" s="101" t="str">
        <x:v>F</x:v>
      </x:c>
      <x:c r="C280" s="101" t="str">
        <x:v>電気・ガス・熱供給・水道業</x:v>
      </x:c>
      <x:c r="D280" s="102" t="n">
        <x:v>1928</x:v>
      </x:c>
      <x:c r="E280" s="102" t="n">
        <x:f>1+COUNTIFS($C$4:$C$802,C280,$D$4:$D$802,"&gt;"&amp;D280)</x:f>
        <x:v>30</x:v>
      </x:c>
      <x:c r="F280" s="102" t="n">
        <x:v>1132526</x:v>
      </x:c>
      <x:c r="G280" s="126" t="n">
        <x:f>D280/F280*10000</x:f>
        <x:v>17.023891725223088</x:v>
      </x:c>
      <x:c r="H280" s="127" t="n">
        <x:f>1+COUNTIFS($C$4:$C$802,C280,$G$4:$G$802,"&gt;"&amp;G280)</x:f>
        <x:v>17</x:v>
      </x:c>
      <x:c r="I280" s="128" t="n">
        <x:f>D280/SUMIF($C$4:$C$802,C280,$D$4:$D$802)</x:f>
        <x:v>0.009537519354535515</x:v>
      </x:c>
      <x:c r="J280" s="103" t="n">
        <x:f>(D280/SUMIF($A$4:$A$802,A280,$D$4:$D$802))/(SUMIF($C$4:$C$802,C280,$D$4:$D$802)/SUM($D$4:$D$802))</x:f>
        <x:v>1.0172707101887266</x:v>
      </x:c>
    </x:row>
    <x:row r="281">
      <x:c r="A281" s="101" t="str">
        <x:v>石川県</x:v>
      </x:c>
      <x:c r="B281" s="101" t="str">
        <x:v>G</x:v>
      </x:c>
      <x:c r="C281" s="101" t="str">
        <x:v>情報通信業</x:v>
      </x:c>
      <x:c r="D281" s="102" t="n">
        <x:v>10892</x:v>
      </x:c>
      <x:c r="E281" s="102" t="n">
        <x:f>1+COUNTIFS($C$4:$C$802,C281,$D$4:$D$802,"&gt;"&amp;D281)</x:f>
        <x:v>19</x:v>
      </x:c>
      <x:c r="F281" s="102" t="n">
        <x:v>1132526</x:v>
      </x:c>
      <x:c r="G281" s="126" t="n">
        <x:f>D281/F281*10000</x:f>
        <x:v>96.17439246427898</x:v>
      </x:c>
      <x:c r="H281" s="127" t="n">
        <x:f>1+COUNTIFS($C$4:$C$802,C281,$G$4:$G$802,"&gt;"&amp;G281)</x:f>
        <x:v>7</x:v>
      </x:c>
      <x:c r="I281" s="128" t="n">
        <x:f>D281/SUMIF($C$4:$C$802,C281,$D$4:$D$802)</x:f>
        <x:v>0.0054820747931764975</x:v>
      </x:c>
      <x:c r="J281" s="103" t="n">
        <x:f>(D281/SUMIF($A$4:$A$802,A281,$D$4:$D$802))/(SUMIF($C$4:$C$802,C281,$D$4:$D$802)/SUM($D$4:$D$802))</x:f>
        <x:v>0.584717462776144</x:v>
      </x:c>
    </x:row>
    <x:row r="282">
      <x:c r="A282" s="101" t="str">
        <x:v>石川県</x:v>
      </x:c>
      <x:c r="B282" s="101" t="str">
        <x:v>H</x:v>
      </x:c>
      <x:c r="C282" s="101" t="str">
        <x:v>運輸業，郵便業</x:v>
      </x:c>
      <x:c r="D282" s="102" t="n">
        <x:v>27163</x:v>
      </x:c>
      <x:c r="E282" s="102" t="n">
        <x:f>1+COUNTIFS($C$4:$C$802,C282,$D$4:$D$802,"&gt;"&amp;D282)</x:f>
        <x:v>31</x:v>
      </x:c>
      <x:c r="F282" s="102" t="n">
        <x:v>1132526</x:v>
      </x:c>
      <x:c r="G282" s="126" t="n">
        <x:f>D282/F282*10000</x:f>
        <x:v>239.8443832636072</x:v>
      </x:c>
      <x:c r="H282" s="127" t="n">
        <x:f>1+COUNTIFS($C$4:$C$802,C282,$G$4:$G$802,"&gt;"&amp;G282)</x:f>
        <x:v>21</x:v>
      </x:c>
      <x:c r="I282" s="128" t="n">
        <x:f>D282/SUMIF($C$4:$C$802,C282,$D$4:$D$802)</x:f>
        <x:v>0.00832012654017142</x:v>
      </x:c>
      <x:c r="J282" s="103" t="n">
        <x:f>(D282/SUMIF($A$4:$A$802,A282,$D$4:$D$802))/(SUMIF($C$4:$C$802,C282,$D$4:$D$802)/SUM($D$4:$D$802))</x:f>
        <x:v>0.8874237335471649</x:v>
      </x:c>
    </x:row>
    <x:row r="283">
      <x:c r="A283" s="101" t="str">
        <x:v>石川県</x:v>
      </x:c>
      <x:c r="B283" s="101" t="str">
        <x:v>I</x:v>
      </x:c>
      <x:c r="C283" s="101" t="str">
        <x:v>卸売業，小売業</x:v>
      </x:c>
      <x:c r="D283" s="102" t="n">
        <x:v>111987</x:v>
      </x:c>
      <x:c r="E283" s="102" t="n">
        <x:f>1+COUNTIFS($C$4:$C$802,C283,$D$4:$D$802,"&gt;"&amp;D283)</x:f>
        <x:v>28</x:v>
      </x:c>
      <x:c r="F283" s="102" t="n">
        <x:v>1132526</x:v>
      </x:c>
      <x:c r="G283" s="126" t="n">
        <x:f>D283/F283*10000</x:f>
        <x:v>988.8249806185464</x:v>
      </x:c>
      <x:c r="H283" s="127" t="n">
        <x:f>1+COUNTIFS($C$4:$C$802,C283,$G$4:$G$802,"&gt;"&amp;G283)</x:f>
        <x:v>3</x:v>
      </x:c>
      <x:c r="I283" s="128" t="n">
        <x:f>D283/SUMIF($C$4:$C$802,C283,$D$4:$D$802)</x:f>
        <x:v>0.00964413821516572</x:v>
      </x:c>
      <x:c r="J283" s="103" t="n">
        <x:f>(D283/SUMIF($A$4:$A$802,A283,$D$4:$D$802))/(SUMIF($C$4:$C$802,C283,$D$4:$D$802)/SUM($D$4:$D$802))</x:f>
        <x:v>1.028642665520196</x:v>
      </x:c>
    </x:row>
    <x:row r="284">
      <x:c r="A284" s="101" t="str">
        <x:v>石川県</x:v>
      </x:c>
      <x:c r="B284" s="101" t="str">
        <x:v>J</x:v>
      </x:c>
      <x:c r="C284" s="101" t="str">
        <x:v>金融業，保険業</x:v>
      </x:c>
      <x:c r="D284" s="102" t="n">
        <x:v>11753</x:v>
      </x:c>
      <x:c r="E284" s="102" t="n">
        <x:f>1+COUNTIFS($C$4:$C$802,C284,$D$4:$D$802,"&gt;"&amp;D284)</x:f>
        <x:v>31</x:v>
      </x:c>
      <x:c r="F284" s="102" t="n">
        <x:v>1132526</x:v>
      </x:c>
      <x:c r="G284" s="126" t="n">
        <x:f>D284/F284*10000</x:f>
        <x:v>103.7768669328563</x:v>
      </x:c>
      <x:c r="H284" s="127" t="n">
        <x:f>1+COUNTIFS($C$4:$C$802,C284,$G$4:$G$802,"&gt;"&amp;G284)</x:f>
        <x:v>18</x:v>
      </x:c>
      <x:c r="I284" s="128" t="n">
        <x:f>D284/SUMIF($C$4:$C$802,C284,$D$4:$D$802)</x:f>
        <x:v>0.007864505405383703</x:v>
      </x:c>
      <x:c r="J284" s="103" t="n">
        <x:f>(D284/SUMIF($A$4:$A$802,A284,$D$4:$D$802))/(SUMIF($C$4:$C$802,C284,$D$4:$D$802)/SUM($D$4:$D$802))</x:f>
        <x:v>0.83882723605832</x:v>
      </x:c>
    </x:row>
    <x:row r="285">
      <x:c r="A285" s="101" t="str">
        <x:v>石川県</x:v>
      </x:c>
      <x:c r="B285" s="101" t="str">
        <x:v>K</x:v>
      </x:c>
      <x:c r="C285" s="101" t="str">
        <x:v>不動産業，物品賃貸業</x:v>
      </x:c>
      <x:c r="D285" s="102" t="n">
        <x:v>10516</x:v>
      </x:c>
      <x:c r="E285" s="102" t="n">
        <x:f>1+COUNTIFS($C$4:$C$802,C285,$D$4:$D$802,"&gt;"&amp;D285)</x:f>
        <x:v>33</x:v>
      </x:c>
      <x:c r="F285" s="102" t="n">
        <x:v>1132526</x:v>
      </x:c>
      <x:c r="G285" s="126" t="n">
        <x:f>D285/F285*10000</x:f>
        <x:v>92.85438038508607</x:v>
      </x:c>
      <x:c r="H285" s="127" t="n">
        <x:f>1+COUNTIFS($C$4:$C$802,C285,$G$4:$G$802,"&gt;"&amp;G285)</x:f>
        <x:v>21</x:v>
      </x:c>
      <x:c r="I285" s="128" t="n">
        <x:f>D285/SUMIF($C$4:$C$802,C285,$D$4:$D$802)</x:f>
        <x:v>0.006498827664883959</x:v>
      </x:c>
      <x:c r="J285" s="103" t="n">
        <x:f>(D285/SUMIF($A$4:$A$802,A285,$D$4:$D$802))/(SUMIF($C$4:$C$802,C285,$D$4:$D$802)/SUM($D$4:$D$802))</x:f>
        <x:v>0.6931642063621911</x:v>
      </x:c>
    </x:row>
    <x:row r="286">
      <x:c r="A286" s="101" t="str">
        <x:v>石川県</x:v>
      </x:c>
      <x:c r="B286" s="101" t="str">
        <x:v>L</x:v>
      </x:c>
      <x:c r="C286" s="101" t="str">
        <x:v>学術研究，専門・技術サービス業</x:v>
      </x:c>
      <x:c r="D286" s="102" t="n">
        <x:v>13853</x:v>
      </x:c>
      <x:c r="E286" s="102" t="n">
        <x:f>1+COUNTIFS($C$4:$C$802,C286,$D$4:$D$802,"&gt;"&amp;D286)</x:f>
        <x:v>30</x:v>
      </x:c>
      <x:c r="F286" s="102" t="n">
        <x:v>1132526</x:v>
      </x:c>
      <x:c r="G286" s="126" t="n">
        <x:f>D286/F286*10000</x:f>
        <x:v>122.31948758792292</x:v>
      </x:c>
      <x:c r="H286" s="127" t="n">
        <x:f>1+COUNTIFS($C$4:$C$802,C286,$G$4:$G$802,"&gt;"&amp;G286)</x:f>
        <x:v>17</x:v>
      </x:c>
      <x:c r="I286" s="128" t="n">
        <x:f>D286/SUMIF($C$4:$C$802,C286,$D$4:$D$802)</x:f>
        <x:v>0.006537764521548714</x:v>
      </x:c>
      <x:c r="J286" s="103" t="n">
        <x:f>(D286/SUMIF($A$4:$A$802,A286,$D$4:$D$802))/(SUMIF($C$4:$C$802,C286,$D$4:$D$802)/SUM($D$4:$D$802))</x:f>
        <x:v>0.6973172069863037</x:v>
      </x:c>
    </x:row>
    <x:row r="287">
      <x:c r="A287" s="101" t="str">
        <x:v>石川県</x:v>
      </x:c>
      <x:c r="B287" s="101" t="str">
        <x:v>M</x:v>
      </x:c>
      <x:c r="C287" s="101" t="str">
        <x:v>宿泊業，飲食サービス業</x:v>
      </x:c>
      <x:c r="D287" s="102" t="n">
        <x:v>47737</x:v>
      </x:c>
      <x:c r="E287" s="102" t="n">
        <x:f>1+COUNTIFS($C$4:$C$802,C287,$D$4:$D$802,"&gt;"&amp;D287)</x:f>
        <x:v>27</x:v>
      </x:c>
      <x:c r="F287" s="102" t="n">
        <x:v>1132526</x:v>
      </x:c>
      <x:c r="G287" s="126" t="n">
        <x:f>D287/F287*10000</x:f>
        <x:v>421.50908676710293</x:v>
      </x:c>
      <x:c r="H287" s="127" t="n">
        <x:f>1+COUNTIFS($C$4:$C$802,C287,$G$4:$G$802,"&gt;"&amp;G287)</x:f>
        <x:v>5</x:v>
      </x:c>
      <x:c r="I287" s="128" t="n">
        <x:f>D287/SUMIF($C$4:$C$802,C287,$D$4:$D$802)</x:f>
        <x:v>0.010202962806858857</x:v>
      </x:c>
      <x:c r="J287" s="103" t="n">
        <x:f>(D287/SUMIF($A$4:$A$802,A287,$D$4:$D$802))/(SUMIF($C$4:$C$802,C287,$D$4:$D$802)/SUM($D$4:$D$802))</x:f>
        <x:v>1.0882468317746283</x:v>
      </x:c>
    </x:row>
    <x:row r="288">
      <x:c r="A288" s="101" t="str">
        <x:v>石川県</x:v>
      </x:c>
      <x:c r="B288" s="101" t="str">
        <x:v>N</x:v>
      </x:c>
      <x:c r="C288" s="101" t="str">
        <x:v>生活関連サービス業，娯楽業</x:v>
      </x:c>
      <x:c r="D288" s="102" t="n">
        <x:v>20299</x:v>
      </x:c>
      <x:c r="E288" s="102" t="n">
        <x:f>1+COUNTIFS($C$4:$C$802,C288,$D$4:$D$802,"&gt;"&amp;D288)</x:f>
        <x:v>32</x:v>
      </x:c>
      <x:c r="F288" s="102" t="n">
        <x:v>1132526</x:v>
      </x:c>
      <x:c r="G288" s="126" t="n">
        <x:f>D288/F288*10000</x:f>
        <x:v>179.23650317961796</x:v>
      </x:c>
      <x:c r="H288" s="127" t="n">
        <x:f>1+COUNTIFS($C$4:$C$802,C288,$G$4:$G$802,"&gt;"&amp;G288)</x:f>
        <x:v>5</x:v>
      </x:c>
      <x:c r="I288" s="128" t="n">
        <x:f>D288/SUMIF($C$4:$C$802,C288,$D$4:$D$802)</x:f>
        <x:v>0.00932798869925129</x:v>
      </x:c>
      <x:c r="J288" s="103" t="n">
        <x:f>(D288/SUMIF($A$4:$A$802,A288,$D$4:$D$802))/(SUMIF($C$4:$C$802,C288,$D$4:$D$802)/SUM($D$4:$D$802))</x:f>
        <x:v>0.9949221947536379</x:v>
      </x:c>
    </x:row>
    <x:row r="289">
      <x:c r="A289" s="101" t="str">
        <x:v>石川県</x:v>
      </x:c>
      <x:c r="B289" s="101" t="str">
        <x:v>O</x:v>
      </x:c>
      <x:c r="C289" s="101" t="str">
        <x:v>教育，学習支援業</x:v>
      </x:c>
      <x:c r="D289" s="102" t="n">
        <x:v>18929</x:v>
      </x:c>
      <x:c r="E289" s="102" t="n">
        <x:f>1+COUNTIFS($C$4:$C$802,C289,$D$4:$D$802,"&gt;"&amp;D289)</x:f>
        <x:v>26</x:v>
      </x:c>
      <x:c r="F289" s="102" t="n">
        <x:v>1132526</x:v>
      </x:c>
      <x:c r="G289" s="126" t="n">
        <x:f>D289/F289*10000</x:f>
        <x:v>167.13965065702686</x:v>
      </x:c>
      <x:c r="H289" s="127" t="n">
        <x:f>1+COUNTIFS($C$4:$C$802,C289,$G$4:$G$802,"&gt;"&amp;G289)</x:f>
        <x:v>5</x:v>
      </x:c>
      <x:c r="I289" s="128" t="n">
        <x:f>D289/SUMIF($C$4:$C$802,C289,$D$4:$D$802)</x:f>
        <x:v>0.009703526980100824</x:v>
      </x:c>
      <x:c r="J289" s="103" t="n">
        <x:f>(D289/SUMIF($A$4:$A$802,A289,$D$4:$D$802))/(SUMIF($C$4:$C$802,C289,$D$4:$D$802)/SUM($D$4:$D$802))</x:f>
        <x:v>1.0349770643126903</x:v>
      </x:c>
    </x:row>
    <x:row r="290">
      <x:c r="A290" s="101" t="str">
        <x:v>石川県</x:v>
      </x:c>
      <x:c r="B290" s="101" t="str">
        <x:v>P</x:v>
      </x:c>
      <x:c r="C290" s="101" t="str">
        <x:v>医療，福祉</x:v>
      </x:c>
      <x:c r="D290" s="102" t="n">
        <x:v>67835</x:v>
      </x:c>
      <x:c r="E290" s="102" t="n">
        <x:f>1+COUNTIFS($C$4:$C$802,C290,$D$4:$D$802,"&gt;"&amp;D290)</x:f>
        <x:v>37</x:v>
      </x:c>
      <x:c r="F290" s="102" t="n">
        <x:v>1132526</x:v>
      </x:c>
      <x:c r="G290" s="126" t="n">
        <x:f>D290/F290*10000</x:f>
        <x:v>598.9707962554502</x:v>
      </x:c>
      <x:c r="H290" s="127" t="n">
        <x:f>1+COUNTIFS($C$4:$C$802,C290,$G$4:$G$802,"&gt;"&amp;G290)</x:f>
        <x:v>36</x:v>
      </x:c>
      <x:c r="I290" s="128" t="n">
        <x:f>D290/SUMIF($C$4:$C$802,C290,$D$4:$D$802)</x:f>
        <x:v>0.008310670467183786</x:v>
      </x:c>
      <x:c r="J290" s="103" t="n">
        <x:f>(D290/SUMIF($A$4:$A$802,A290,$D$4:$D$802))/(SUMIF($C$4:$C$802,C290,$D$4:$D$802)/SUM($D$4:$D$802))</x:f>
        <x:v>0.8864151498970407</x:v>
      </x:c>
    </x:row>
    <x:row r="291">
      <x:c r="A291" s="101" t="str">
        <x:v>石川県</x:v>
      </x:c>
      <x:c r="B291" s="101" t="str">
        <x:v>Q</x:v>
      </x:c>
      <x:c r="C291" s="101" t="str">
        <x:v>複合サービス事業</x:v>
      </x:c>
      <x:c r="D291" s="102" t="n">
        <x:v>5008</x:v>
      </x:c>
      <x:c r="E291" s="102" t="n">
        <x:f>1+COUNTIFS($C$4:$C$802,C291,$D$4:$D$802,"&gt;"&amp;D291)</x:f>
        <x:v>35</x:v>
      </x:c>
      <x:c r="F291" s="102" t="n">
        <x:v>1132526</x:v>
      </x:c>
      <x:c r="G291" s="126" t="n">
        <x:f>D291/F291*10000</x:f>
        <x:v>44.219735352654155</x:v>
      </x:c>
      <x:c r="H291" s="127" t="n">
        <x:f>1+COUNTIFS($C$4:$C$802,C291,$G$4:$G$802,"&gt;"&amp;G291)</x:f>
        <x:v>23</x:v>
      </x:c>
      <x:c r="I291" s="128" t="n">
        <x:f>D291/SUMIF($C$4:$C$802,C291,$D$4:$D$802)</x:f>
        <x:v>0.011487028924008533</x:v>
      </x:c>
      <x:c r="J291" s="103" t="n">
        <x:f>(D291/SUMIF($A$4:$A$802,A291,$D$4:$D$802))/(SUMIF($C$4:$C$802,C291,$D$4:$D$802)/SUM($D$4:$D$802))</x:f>
        <x:v>1.22520517517248</x:v>
      </x:c>
    </x:row>
    <x:row r="292">
      <x:c r="A292" s="101" t="str">
        <x:v>石川県</x:v>
      </x:c>
      <x:c r="B292" s="101" t="str">
        <x:v>R</x:v>
      </x:c>
      <x:c r="C292" s="101" t="str">
        <x:v>サービス業（他に分類されないもの）</x:v>
      </x:c>
      <x:c r="D292" s="102" t="n">
        <x:v>42815</x:v>
      </x:c>
      <x:c r="E292" s="102" t="n">
        <x:f>1+COUNTIFS($C$4:$C$802,C292,$D$4:$D$802,"&gt;"&amp;D292)</x:f>
        <x:v>26</x:v>
      </x:c>
      <x:c r="F292" s="102" t="n">
        <x:v>1132526</x:v>
      </x:c>
      <x:c r="G292" s="126" t="n">
        <x:f>D292/F292*10000</x:f>
        <x:v>378.04871587937055</x:v>
      </x:c>
      <x:c r="H292" s="127" t="n">
        <x:f>1+COUNTIFS($C$4:$C$802,C292,$G$4:$G$802,"&gt;"&amp;G292)</x:f>
        <x:v>10</x:v>
      </x:c>
      <x:c r="I292" s="128" t="n">
        <x:f>D292/SUMIF($C$4:$C$802,C292,$D$4:$D$802)</x:f>
        <x:v>0.008179641471307637</x:v>
      </x:c>
      <x:c r="J292" s="103" t="n">
        <x:f>(D292/SUMIF($A$4:$A$802,A292,$D$4:$D$802))/(SUMIF($C$4:$C$802,C292,$D$4:$D$802)/SUM($D$4:$D$802))</x:f>
        <x:v>0.8724396123662194</x:v>
      </x:c>
    </x:row>
    <x:row r="293">
      <x:c r="A293" s="101" t="str">
        <x:v>福井県</x:v>
      </x:c>
      <x:c r="B293" s="101" t="str">
        <x:v>AB</x:v>
      </x:c>
      <x:c r="C293" s="101" t="str">
        <x:v>農林漁業</x:v>
      </x:c>
      <x:c r="D293" s="102" t="n">
        <x:v>7116</x:v>
      </x:c>
      <x:c r="E293" s="102" t="n">
        <x:f>1+COUNTIFS($C$4:$C$802,C293,$D$4:$D$802,"&gt;"&amp;D293)</x:f>
        <x:v>31</x:v>
      </x:c>
      <x:c r="F293" s="102" t="n">
        <x:v>766863</x:v>
      </x:c>
      <x:c r="G293" s="126" t="n">
        <x:f>D293/F293*10000</x:f>
        <x:v>92.79362806655166</x:v>
      </x:c>
      <x:c r="H293" s="127" t="n">
        <x:f>1+COUNTIFS($C$4:$C$802,C293,$G$4:$G$802,"&gt;"&amp;G293)</x:f>
        <x:v>7</x:v>
      </x:c>
      <x:c r="I293" s="128" t="n">
        <x:f>D293/SUMIF($C$4:$C$802,C293,$D$4:$D$802)</x:f>
        <x:v>0.015684269224580837</x:v>
      </x:c>
      <x:c r="J293" s="103" t="n">
        <x:f>(D293/SUMIF($A$4:$A$802,A293,$D$4:$D$802))/(SUMIF($C$4:$C$802,C293,$D$4:$D$802)/SUM($D$4:$D$802))</x:f>
        <x:v>2.430388391710588</x:v>
      </x:c>
    </x:row>
    <x:row r="294">
      <x:c r="A294" s="101" t="str">
        <x:v>福井県</x:v>
      </x:c>
      <x:c r="B294" s="101" t="str">
        <x:v>C</x:v>
      </x:c>
      <x:c r="C294" s="101" t="str">
        <x:v>鉱業，採石業，砂利採取業</x:v>
      </x:c>
      <x:c r="D294" s="102" t="n">
        <x:v>121</x:v>
      </x:c>
      <x:c r="E294" s="102" t="n">
        <x:f>1+COUNTIFS($C$4:$C$802,C294,$D$4:$D$802,"&gt;"&amp;D294)</x:f>
        <x:v>42</x:v>
      </x:c>
      <x:c r="F294" s="102" t="n">
        <x:v>766863</x:v>
      </x:c>
      <x:c r="G294" s="126" t="n">
        <x:f>D294/F294*10000</x:f>
        <x:v>1.577856801019217</x:v>
      </x:c>
      <x:c r="H294" s="127" t="n">
        <x:f>1+COUNTIFS($C$4:$C$802,C294,$G$4:$G$802,"&gt;"&amp;G294)</x:f>
        <x:v>26</x:v>
      </x:c>
      <x:c r="I294" s="128" t="n">
        <x:f>D294/SUMIF($C$4:$C$802,C294,$D$4:$D$802)</x:f>
        <x:v>0.006143067472203889</x:v>
      </x:c>
      <x:c r="J294" s="103" t="n">
        <x:f>(D294/SUMIF($A$4:$A$802,A294,$D$4:$D$802))/(SUMIF($C$4:$C$802,C294,$D$4:$D$802)/SUM($D$4:$D$802))</x:f>
        <x:v>0.9519117314398333</x:v>
      </x:c>
    </x:row>
    <x:row r="295">
      <x:c r="A295" s="101" t="str">
        <x:v>福井県</x:v>
      </x:c>
      <x:c r="B295" s="101" t="str">
        <x:v>D</x:v>
      </x:c>
      <x:c r="C295" s="101" t="str">
        <x:v>建設業</x:v>
      </x:c>
      <x:c r="D295" s="102" t="n">
        <x:v>31696</x:v>
      </x:c>
      <x:c r="E295" s="102" t="n">
        <x:f>1+COUNTIFS($C$4:$C$802,C295,$D$4:$D$802,"&gt;"&amp;D295)</x:f>
        <x:v>37</x:v>
      </x:c>
      <x:c r="F295" s="102" t="n">
        <x:v>766863</x:v>
      </x:c>
      <x:c r="G295" s="126" t="n">
        <x:f>D295/F295*10000</x:f>
        <x:v>413.3202410339265</x:v>
      </x:c>
      <x:c r="H295" s="127" t="n">
        <x:f>1+COUNTIFS($C$4:$C$802,C295,$G$4:$G$802,"&gt;"&amp;G295)</x:f>
        <x:v>4</x:v>
      </x:c>
      <x:c r="I295" s="128" t="n">
        <x:f>D295/SUMIF($C$4:$C$802,C295,$D$4:$D$802)</x:f>
        <x:v>0.008480727989800436</x:v>
      </x:c>
      <x:c r="J295" s="103" t="n">
        <x:f>(D295/SUMIF($A$4:$A$802,A295,$D$4:$D$802))/(SUMIF($C$4:$C$802,C295,$D$4:$D$802)/SUM($D$4:$D$802))</x:f>
        <x:v>1.3141487540498968</x:v>
      </x:c>
    </x:row>
    <x:row r="296">
      <x:c r="A296" s="101" t="str">
        <x:v>福井県</x:v>
      </x:c>
      <x:c r="B296" s="101" t="str">
        <x:v>E</x:v>
      </x:c>
      <x:c r="C296" s="101" t="str">
        <x:v>製造業</x:v>
      </x:c>
      <x:c r="D296" s="102" t="n">
        <x:v>80836</x:v>
      </x:c>
      <x:c r="E296" s="102" t="n">
        <x:f>1+COUNTIFS($C$4:$C$802,C296,$D$4:$D$802,"&gt;"&amp;D296)</x:f>
        <x:v>32</x:v>
      </x:c>
      <x:c r="F296" s="102" t="n">
        <x:v>766863</x:v>
      </x:c>
      <x:c r="G296" s="126" t="n">
        <x:f>D296/F296*10000</x:f>
        <x:v>1054.1126641916483</x:v>
      </x:c>
      <x:c r="H296" s="127" t="n">
        <x:f>1+COUNTIFS($C$4:$C$802,C296,$G$4:$G$802,"&gt;"&amp;G296)</x:f>
        <x:v>10</x:v>
      </x:c>
      <x:c r="I296" s="128" t="n">
        <x:f>D296/SUMIF($C$4:$C$802,C296,$D$4:$D$802)</x:f>
        <x:v>0.009182107906919897</x:v>
      </x:c>
      <x:c r="J296" s="103" t="n">
        <x:f>(D296/SUMIF($A$4:$A$802,A296,$D$4:$D$802))/(SUMIF($C$4:$C$802,C296,$D$4:$D$802)/SUM($D$4:$D$802))</x:f>
        <x:v>1.4228325304080922</x:v>
      </x:c>
    </x:row>
    <x:row r="297">
      <x:c r="A297" s="101" t="str">
        <x:v>福井県</x:v>
      </x:c>
      <x:c r="B297" s="101" t="str">
        <x:v>F</x:v>
      </x:c>
      <x:c r="C297" s="101" t="str">
        <x:v>電気・ガス・熱供給・水道業</x:v>
      </x:c>
      <x:c r="D297" s="102" t="n">
        <x:v>3576</x:v>
      </x:c>
      <x:c r="E297" s="102" t="n">
        <x:f>1+COUNTIFS($C$4:$C$802,C297,$D$4:$D$802,"&gt;"&amp;D297)</x:f>
        <x:v>17</x:v>
      </x:c>
      <x:c r="F297" s="102" t="n">
        <x:v>766863</x:v>
      </x:c>
      <x:c r="G297" s="126" t="n">
        <x:f>D297/F297*10000</x:f>
        <x:v>46.631536532601004</x:v>
      </x:c>
      <x:c r="H297" s="127" t="n">
        <x:f>1+COUNTIFS($C$4:$C$802,C297,$G$4:$G$802,"&gt;"&amp;G297)</x:f>
        <x:v>1</x:v>
      </x:c>
      <x:c r="I297" s="128" t="n">
        <x:f>D297/SUMIF($C$4:$C$802,C297,$D$4:$D$802)</x:f>
        <x:v>0.017689921790362554</x:v>
      </x:c>
      <x:c r="J297" s="103" t="n">
        <x:f>(D297/SUMIF($A$4:$A$802,A297,$D$4:$D$802))/(SUMIF($C$4:$C$802,C297,$D$4:$D$802)/SUM($D$4:$D$802))</x:f>
        <x:v>2.741178435153668</x:v>
      </x:c>
    </x:row>
    <x:row r="298">
      <x:c r="A298" s="101" t="str">
        <x:v>福井県</x:v>
      </x:c>
      <x:c r="B298" s="101" t="str">
        <x:v>G</x:v>
      </x:c>
      <x:c r="C298" s="101" t="str">
        <x:v>情報通信業</x:v>
      </x:c>
      <x:c r="D298" s="102" t="n">
        <x:v>5157</x:v>
      </x:c>
      <x:c r="E298" s="102" t="n">
        <x:f>1+COUNTIFS($C$4:$C$802,C298,$D$4:$D$802,"&gt;"&amp;D298)</x:f>
        <x:v>35</x:v>
      </x:c>
      <x:c r="F298" s="102" t="n">
        <x:v>766863</x:v>
      </x:c>
      <x:c r="G298" s="126" t="n">
        <x:f>D298/F298*10000</x:f>
        <x:v>67.24799605666202</x:v>
      </x:c>
      <x:c r="H298" s="127" t="n">
        <x:f>1+COUNTIFS($C$4:$C$802,C298,$G$4:$G$802,"&gt;"&amp;G298)</x:f>
        <x:v>15</x:v>
      </x:c>
      <x:c r="I298" s="128" t="n">
        <x:f>D298/SUMIF($C$4:$C$802,C298,$D$4:$D$802)</x:f>
        <x:v>0.002595580215608814</x:v>
      </x:c>
      <x:c r="J298" s="103" t="n">
        <x:f>(D298/SUMIF($A$4:$A$802,A298,$D$4:$D$802))/(SUMIF($C$4:$C$802,C298,$D$4:$D$802)/SUM($D$4:$D$802))</x:f>
        <x:v>0.4022035031050619</x:v>
      </x:c>
    </x:row>
    <x:row r="299">
      <x:c r="A299" s="101" t="str">
        <x:v>福井県</x:v>
      </x:c>
      <x:c r="B299" s="101" t="str">
        <x:v>H</x:v>
      </x:c>
      <x:c r="C299" s="101" t="str">
        <x:v>運輸業，郵便業</x:v>
      </x:c>
      <x:c r="D299" s="102" t="n">
        <x:v>16650</x:v>
      </x:c>
      <x:c r="E299" s="102" t="n">
        <x:f>1+COUNTIFS($C$4:$C$802,C299,$D$4:$D$802,"&gt;"&amp;D299)</x:f>
        <x:v>42</x:v>
      </x:c>
      <x:c r="F299" s="102" t="n">
        <x:v>766863</x:v>
      </x:c>
      <x:c r="G299" s="126" t="n">
        <x:f>D299/F299*10000</x:f>
        <x:v>217.11831187578485</x:v>
      </x:c>
      <x:c r="H299" s="127" t="n">
        <x:f>1+COUNTIFS($C$4:$C$802,C299,$G$4:$G$802,"&gt;"&amp;G299)</x:f>
        <x:v>30</x:v>
      </x:c>
      <x:c r="I299" s="128" t="n">
        <x:f>D299/SUMIF($C$4:$C$802,C299,$D$4:$D$802)</x:f>
        <x:v>0.005099956076053976</x:v>
      </x:c>
      <x:c r="J299" s="103" t="n">
        <x:f>(D299/SUMIF($A$4:$A$802,A299,$D$4:$D$802))/(SUMIF($C$4:$C$802,C299,$D$4:$D$802)/SUM($D$4:$D$802))</x:f>
        <x:v>0.7902742466349572</x:v>
      </x:c>
    </x:row>
    <x:row r="300">
      <x:c r="A300" s="101" t="str">
        <x:v>福井県</x:v>
      </x:c>
      <x:c r="B300" s="101" t="str">
        <x:v>I</x:v>
      </x:c>
      <x:c r="C300" s="101" t="str">
        <x:v>卸売業，小売業</x:v>
      </x:c>
      <x:c r="D300" s="102" t="n">
        <x:v>69965</x:v>
      </x:c>
      <x:c r="E300" s="102" t="n">
        <x:f>1+COUNTIFS($C$4:$C$802,C300,$D$4:$D$802,"&gt;"&amp;D300)</x:f>
        <x:v>41</x:v>
      </x:c>
      <x:c r="F300" s="102" t="n">
        <x:v>766863</x:v>
      </x:c>
      <x:c r="G300" s="126" t="n">
        <x:f>D300/F300*10000</x:f>
        <x:v>912.3533147380954</x:v>
      </x:c>
      <x:c r="H300" s="127" t="n">
        <x:f>1+COUNTIFS($C$4:$C$802,C300,$G$4:$G$802,"&gt;"&amp;G300)</x:f>
        <x:v>11</x:v>
      </x:c>
      <x:c r="I300" s="128" t="n">
        <x:f>D300/SUMIF($C$4:$C$802,C300,$D$4:$D$802)</x:f>
        <x:v>0.006025271953209477</x:v>
      </x:c>
      <x:c r="J300" s="103" t="n">
        <x:f>(D300/SUMIF($A$4:$A$802,A300,$D$4:$D$802))/(SUMIF($C$4:$C$802,C300,$D$4:$D$802)/SUM($D$4:$D$802))</x:f>
        <x:v>0.9336584830506215</x:v>
      </x:c>
    </x:row>
    <x:row r="301">
      <x:c r="A301" s="101" t="str">
        <x:v>福井県</x:v>
      </x:c>
      <x:c r="B301" s="101" t="str">
        <x:v>J</x:v>
      </x:c>
      <x:c r="C301" s="101" t="str">
        <x:v>金融業，保険業</x:v>
      </x:c>
      <x:c r="D301" s="102" t="n">
        <x:v>8923</x:v>
      </x:c>
      <x:c r="E301" s="102" t="n">
        <x:f>1+COUNTIFS($C$4:$C$802,C301,$D$4:$D$802,"&gt;"&amp;D301)</x:f>
        <x:v>40</x:v>
      </x:c>
      <x:c r="F301" s="102" t="n">
        <x:v>766863</x:v>
      </x:c>
      <x:c r="G301" s="126" t="n">
        <x:f>D301/F301*10000</x:f>
        <x:v>116.35715897102872</x:v>
      </x:c>
      <x:c r="H301" s="127" t="n">
        <x:f>1+COUNTIFS($C$4:$C$802,C301,$G$4:$G$802,"&gt;"&amp;G301)</x:f>
        <x:v>5</x:v>
      </x:c>
      <x:c r="I301" s="128" t="n">
        <x:f>D301/SUMIF($C$4:$C$802,C301,$D$4:$D$802)</x:f>
        <x:v>0.005970814407575835</x:v>
      </x:c>
      <x:c r="J301" s="103" t="n">
        <x:f>(D301/SUMIF($A$4:$A$802,A301,$D$4:$D$802))/(SUMIF($C$4:$C$802,C301,$D$4:$D$802)/SUM($D$4:$D$802))</x:f>
        <x:v>0.9252199013829704</x:v>
      </x:c>
    </x:row>
    <x:row r="302">
      <x:c r="A302" s="101" t="str">
        <x:v>福井県</x:v>
      </x:c>
      <x:c r="B302" s="101" t="str">
        <x:v>K</x:v>
      </x:c>
      <x:c r="C302" s="101" t="str">
        <x:v>不動産業，物品賃貸業</x:v>
      </x:c>
      <x:c r="D302" s="102" t="n">
        <x:v>5573</x:v>
      </x:c>
      <x:c r="E302" s="102" t="n">
        <x:f>1+COUNTIFS($C$4:$C$802,C302,$D$4:$D$802,"&gt;"&amp;D302)</x:f>
        <x:v>43</x:v>
      </x:c>
      <x:c r="F302" s="102" t="n">
        <x:v>766863</x:v>
      </x:c>
      <x:c r="G302" s="126" t="n">
        <x:f>D302/F302*10000</x:f>
        <x:v>72.67269381884378</x:v>
      </x:c>
      <x:c r="H302" s="127" t="n">
        <x:f>1+COUNTIFS($C$4:$C$802,C302,$G$4:$G$802,"&gt;"&amp;G302)</x:f>
        <x:v>42</x:v>
      </x:c>
      <x:c r="I302" s="128" t="n">
        <x:f>D302/SUMIF($C$4:$C$802,C302,$D$4:$D$802)</x:f>
        <x:v>0.0034440820251424786</x:v>
      </x:c>
      <x:c r="J302" s="103" t="n">
        <x:f>(D302/SUMIF($A$4:$A$802,A302,$D$4:$D$802))/(SUMIF($C$4:$C$802,C302,$D$4:$D$802)/SUM($D$4:$D$802))</x:f>
        <x:v>0.5336848567281001</x:v>
      </x:c>
    </x:row>
    <x:row r="303">
      <x:c r="A303" s="101" t="str">
        <x:v>福井県</x:v>
      </x:c>
      <x:c r="B303" s="101" t="str">
        <x:v>L</x:v>
      </x:c>
      <x:c r="C303" s="101" t="str">
        <x:v>学術研究，専門・技術サービス業</x:v>
      </x:c>
      <x:c r="D303" s="102" t="n">
        <x:v>10426</x:v>
      </x:c>
      <x:c r="E303" s="102" t="n">
        <x:f>1+COUNTIFS($C$4:$C$802,C303,$D$4:$D$802,"&gt;"&amp;D303)</x:f>
        <x:v>35</x:v>
      </x:c>
      <x:c r="F303" s="102" t="n">
        <x:v>766863</x:v>
      </x:c>
      <x:c r="G303" s="126" t="n">
        <x:f>D303/F303*10000</x:f>
        <x:v>135.95648766468065</x:v>
      </x:c>
      <x:c r="H303" s="127" t="n">
        <x:f>1+COUNTIFS($C$4:$C$802,C303,$G$4:$G$802,"&gt;"&amp;G303)</x:f>
        <x:v>11</x:v>
      </x:c>
      <x:c r="I303" s="128" t="n">
        <x:f>D303/SUMIF($C$4:$C$802,C303,$D$4:$D$802)</x:f>
        <x:v>0.004920431163045325</x:v>
      </x:c>
      <x:c r="J303" s="103" t="n">
        <x:f>(D303/SUMIF($A$4:$A$802,A303,$D$4:$D$802))/(SUMIF($C$4:$C$802,C303,$D$4:$D$802)/SUM($D$4:$D$802))</x:f>
        <x:v>0.7624555922653118</x:v>
      </x:c>
    </x:row>
    <x:row r="304">
      <x:c r="A304" s="101" t="str">
        <x:v>福井県</x:v>
      </x:c>
      <x:c r="B304" s="101" t="str">
        <x:v>M</x:v>
      </x:c>
      <x:c r="C304" s="101" t="str">
        <x:v>宿泊業，飲食サービス業</x:v>
      </x:c>
      <x:c r="D304" s="102" t="n">
        <x:v>29487</x:v>
      </x:c>
      <x:c r="E304" s="102" t="n">
        <x:f>1+COUNTIFS($C$4:$C$802,C304,$D$4:$D$802,"&gt;"&amp;D304)</x:f>
        <x:v>41</x:v>
      </x:c>
      <x:c r="F304" s="102" t="n">
        <x:v>766863</x:v>
      </x:c>
      <x:c r="G304" s="126" t="n">
        <x:f>D304/F304*10000</x:f>
        <x:v>384.51457431118723</x:v>
      </x:c>
      <x:c r="H304" s="127" t="n">
        <x:f>1+COUNTIFS($C$4:$C$802,C304,$G$4:$G$802,"&gt;"&amp;G304)</x:f>
        <x:v>11</x:v>
      </x:c>
      <x:c r="I304" s="128" t="n">
        <x:f>D304/SUMIF($C$4:$C$802,C304,$D$4:$D$802)</x:f>
        <x:v>0.006302339155913592</x:v>
      </x:c>
      <x:c r="J304" s="103" t="n">
        <x:f>(D304/SUMIF($A$4:$A$802,A304,$D$4:$D$802))/(SUMIF($C$4:$C$802,C304,$D$4:$D$802)/SUM($D$4:$D$802))</x:f>
        <x:v>0.9765920047553155</x:v>
      </x:c>
    </x:row>
    <x:row r="305">
      <x:c r="A305" s="101" t="str">
        <x:v>福井県</x:v>
      </x:c>
      <x:c r="B305" s="101" t="str">
        <x:v>N</x:v>
      </x:c>
      <x:c r="C305" s="101" t="str">
        <x:v>生活関連サービス業，娯楽業</x:v>
      </x:c>
      <x:c r="D305" s="102" t="n">
        <x:v>12821</x:v>
      </x:c>
      <x:c r="E305" s="102" t="n">
        <x:f>1+COUNTIFS($C$4:$C$802,C305,$D$4:$D$802,"&gt;"&amp;D305)</x:f>
        <x:v>43</x:v>
      </x:c>
      <x:c r="F305" s="102" t="n">
        <x:v>766863</x:v>
      </x:c>
      <x:c r="G305" s="126" t="n">
        <x:f>D305/F305*10000</x:f>
        <x:v>167.18762021378006</x:v>
      </x:c>
      <x:c r="H305" s="127" t="n">
        <x:f>1+COUNTIFS($C$4:$C$802,C305,$G$4:$G$802,"&gt;"&amp;G305)</x:f>
        <x:v>24</x:v>
      </x:c>
      <x:c r="I305" s="128" t="n">
        <x:f>D305/SUMIF($C$4:$C$802,C305,$D$4:$D$802)</x:f>
        <x:v>0.005891627327114674</x:v>
      </x:c>
      <x:c r="J305" s="103" t="n">
        <x:f>(D305/SUMIF($A$4:$A$802,A305,$D$4:$D$802))/(SUMIF($C$4:$C$802,C305,$D$4:$D$802)/SUM($D$4:$D$802))</x:f>
        <x:v>0.9129493034755692</x:v>
      </x:c>
    </x:row>
    <x:row r="306">
      <x:c r="A306" s="101" t="str">
        <x:v>福井県</x:v>
      </x:c>
      <x:c r="B306" s="101" t="str">
        <x:v>O</x:v>
      </x:c>
      <x:c r="C306" s="101" t="str">
        <x:v>教育，学習支援業</x:v>
      </x:c>
      <x:c r="D306" s="102" t="n">
        <x:v>11530</x:v>
      </x:c>
      <x:c r="E306" s="102" t="n">
        <x:f>1+COUNTIFS($C$4:$C$802,C306,$D$4:$D$802,"&gt;"&amp;D306)</x:f>
        <x:v>40</x:v>
      </x:c>
      <x:c r="F306" s="102" t="n">
        <x:v>766863</x:v>
      </x:c>
      <x:c r="G306" s="126" t="n">
        <x:f>D306/F306*10000</x:f>
        <x:v>150.35280095662458</x:v>
      </x:c>
      <x:c r="H306" s="127" t="n">
        <x:f>1+COUNTIFS($C$4:$C$802,C306,$G$4:$G$802,"&gt;"&amp;G306)</x:f>
        <x:v>11</x:v>
      </x:c>
      <x:c r="I306" s="128" t="n">
        <x:f>D306/SUMIF($C$4:$C$802,C306,$D$4:$D$802)</x:f>
        <x:v>0.005910595703976042</x:v>
      </x:c>
      <x:c r="J306" s="103" t="n">
        <x:f>(D306/SUMIF($A$4:$A$802,A306,$D$4:$D$802))/(SUMIF($C$4:$C$802,C306,$D$4:$D$802)/SUM($D$4:$D$802))</x:f>
        <x:v>0.9158885875616399</x:v>
      </x:c>
    </x:row>
    <x:row r="307">
      <x:c r="A307" s="101" t="str">
        <x:v>福井県</x:v>
      </x:c>
      <x:c r="B307" s="101" t="str">
        <x:v>P</x:v>
      </x:c>
      <x:c r="C307" s="101" t="str">
        <x:v>医療，福祉</x:v>
      </x:c>
      <x:c r="D307" s="102" t="n">
        <x:v>47484</x:v>
      </x:c>
      <x:c r="E307" s="102" t="n">
        <x:f>1+COUNTIFS($C$4:$C$802,C307,$D$4:$D$802,"&gt;"&amp;D307)</x:f>
        <x:v>46</x:v>
      </x:c>
      <x:c r="F307" s="102" t="n">
        <x:v>766863</x:v>
      </x:c>
      <x:c r="G307" s="126" t="n">
        <x:f>D307/F307*10000</x:f>
        <x:v>619.1979532198059</x:v>
      </x:c>
      <x:c r="H307" s="127" t="n">
        <x:f>1+COUNTIFS($C$4:$C$802,C307,$G$4:$G$802,"&gt;"&amp;G307)</x:f>
        <x:v>30</x:v>
      </x:c>
      <x:c r="I307" s="128" t="n">
        <x:f>D307/SUMIF($C$4:$C$802,C307,$D$4:$D$802)</x:f>
        <x:v>0.005817408070520453</x:v>
      </x:c>
      <x:c r="J307" s="103" t="n">
        <x:f>(D307/SUMIF($A$4:$A$802,A307,$D$4:$D$802))/(SUMIF($C$4:$C$802,C307,$D$4:$D$802)/SUM($D$4:$D$802))</x:f>
        <x:v>0.9014485049949309</x:v>
      </x:c>
    </x:row>
    <x:row r="308">
      <x:c r="A308" s="101" t="str">
        <x:v>福井県</x:v>
      </x:c>
      <x:c r="B308" s="101" t="str">
        <x:v>Q</x:v>
      </x:c>
      <x:c r="C308" s="101" t="str">
        <x:v>複合サービス事業</x:v>
      </x:c>
      <x:c r="D308" s="102" t="n">
        <x:v>4222</x:v>
      </x:c>
      <x:c r="E308" s="102" t="n">
        <x:f>1+COUNTIFS($C$4:$C$802,C308,$D$4:$D$802,"&gt;"&amp;D308)</x:f>
        <x:v>40</x:v>
      </x:c>
      <x:c r="F308" s="102" t="n">
        <x:v>766863</x:v>
      </x:c>
      <x:c r="G308" s="126" t="n">
        <x:f>D308/F308*10000</x:f>
        <x:v>55.055466230604424</x:v>
      </x:c>
      <x:c r="H308" s="127" t="n">
        <x:f>1+COUNTIFS($C$4:$C$802,C308,$G$4:$G$802,"&gt;"&amp;G308)</x:f>
        <x:v>9</x:v>
      </x:c>
      <x:c r="I308" s="128" t="n">
        <x:f>D308/SUMIF($C$4:$C$802,C308,$D$4:$D$802)</x:f>
        <x:v>0.009684152579305915</x:v>
      </x:c>
      <x:c r="J308" s="103" t="n">
        <x:f>(D308/SUMIF($A$4:$A$802,A308,$D$4:$D$802))/(SUMIF($C$4:$C$802,C308,$D$4:$D$802)/SUM($D$4:$D$802))</x:f>
        <x:v>1.5006279014525303</x:v>
      </x:c>
    </x:row>
    <x:row r="309">
      <x:c r="A309" s="101" t="str">
        <x:v>福井県</x:v>
      </x:c>
      <x:c r="B309" s="101" t="str">
        <x:v>R</x:v>
      </x:c>
      <x:c r="C309" s="101" t="str">
        <x:v>サービス業（他に分類されないもの）</x:v>
      </x:c>
      <x:c r="D309" s="102" t="n">
        <x:v>28391</x:v>
      </x:c>
      <x:c r="E309" s="102" t="n">
        <x:f>1+COUNTIFS($C$4:$C$802,C309,$D$4:$D$802,"&gt;"&amp;D309)</x:f>
        <x:v>39</x:v>
      </x:c>
      <x:c r="F309" s="102" t="n">
        <x:v>766863</x:v>
      </x:c>
      <x:c r="G309" s="126" t="n">
        <x:f>D309/F309*10000</x:f>
        <x:v>370.2225821300545</x:v>
      </x:c>
      <x:c r="H309" s="127" t="n">
        <x:f>1+COUNTIFS($C$4:$C$802,C309,$G$4:$G$802,"&gt;"&amp;G309)</x:f>
        <x:v>11</x:v>
      </x:c>
      <x:c r="I309" s="128" t="n">
        <x:f>D309/SUMIF($C$4:$C$802,C309,$D$4:$D$802)</x:f>
        <x:v>0.0054239916153659955</x:v>
      </x:c>
      <x:c r="J309" s="103" t="n">
        <x:f>(D309/SUMIF($A$4:$A$802,A309,$D$4:$D$802))/(SUMIF($C$4:$C$802,C309,$D$4:$D$802)/SUM($D$4:$D$802))</x:f>
        <x:v>0.8404858441259877</x:v>
      </x:c>
    </x:row>
    <x:row r="310">
      <x:c r="A310" s="101" t="str">
        <x:v>山梨県</x:v>
      </x:c>
      <x:c r="B310" s="101" t="str">
        <x:v>AB</x:v>
      </x:c>
      <x:c r="C310" s="101" t="str">
        <x:v>農林漁業</x:v>
      </x:c>
      <x:c r="D310" s="102" t="n">
        <x:v>3596</x:v>
      </x:c>
      <x:c r="E310" s="102" t="n">
        <x:f>1+COUNTIFS($C$4:$C$802,C310,$D$4:$D$802,"&gt;"&amp;D310)</x:f>
        <x:v>45</x:v>
      </x:c>
      <x:c r="F310" s="102" t="n">
        <x:v>809974</x:v>
      </x:c>
      <x:c r="G310" s="126" t="n">
        <x:f>D310/F310*10000</x:f>
        <x:v>44.396486800810884</x:v>
      </x:c>
      <x:c r="H310" s="127" t="n">
        <x:f>1+COUNTIFS($C$4:$C$802,C310,$G$4:$G$802,"&gt;"&amp;G310)</x:f>
        <x:v>32</x:v>
      </x:c>
      <x:c r="I310" s="128" t="n">
        <x:f>D310/SUMIF($C$4:$C$802,C310,$D$4:$D$802)</x:f>
        <x:v>0.007925889844237309</x:v>
      </x:c>
      <x:c r="J310" s="103" t="n">
        <x:f>(D310/SUMIF($A$4:$A$802,A310,$D$4:$D$802))/(SUMIF($C$4:$C$802,C310,$D$4:$D$802)/SUM($D$4:$D$802))</x:f>
        <x:v>1.2540398699637287</x:v>
      </x:c>
    </x:row>
    <x:row r="311">
      <x:c r="A311" s="101" t="str">
        <x:v>山梨県</x:v>
      </x:c>
      <x:c r="B311" s="101" t="str">
        <x:v>C</x:v>
      </x:c>
      <x:c r="C311" s="101" t="str">
        <x:v>鉱業，採石業，砂利採取業</x:v>
      </x:c>
      <x:c r="D311" s="102" t="n">
        <x:v>319</x:v>
      </x:c>
      <x:c r="E311" s="102" t="n">
        <x:f>1+COUNTIFS($C$4:$C$802,C311,$D$4:$D$802,"&gt;"&amp;D311)</x:f>
        <x:v>26</x:v>
      </x:c>
      <x:c r="F311" s="102" t="n">
        <x:v>809974</x:v>
      </x:c>
      <x:c r="G311" s="126" t="n">
        <x:f>D311/F311*10000</x:f>
        <x:v>3.938398022652579</x:v>
      </x:c>
      <x:c r="H311" s="127" t="n">
        <x:f>1+COUNTIFS($C$4:$C$802,C311,$G$4:$G$802,"&gt;"&amp;G311)</x:f>
        <x:v>6</x:v>
      </x:c>
      <x:c r="I311" s="128" t="n">
        <x:f>D311/SUMIF($C$4:$C$802,C311,$D$4:$D$802)</x:f>
        <x:v>0.016195359699446615</x:v>
      </x:c>
      <x:c r="J311" s="103" t="n">
        <x:f>(D311/SUMIF($A$4:$A$802,A311,$D$4:$D$802))/(SUMIF($C$4:$C$802,C311,$D$4:$D$802)/SUM($D$4:$D$802))</x:f>
        <x:v>2.5624412110996473</x:v>
      </x:c>
    </x:row>
    <x:row r="312">
      <x:c r="A312" s="101" t="str">
        <x:v>山梨県</x:v>
      </x:c>
      <x:c r="B312" s="101" t="str">
        <x:v>D</x:v>
      </x:c>
      <x:c r="C312" s="101" t="str">
        <x:v>建設業</x:v>
      </x:c>
      <x:c r="D312" s="102" t="n">
        <x:v>24637</x:v>
      </x:c>
      <x:c r="E312" s="102" t="n">
        <x:f>1+COUNTIFS($C$4:$C$802,C312,$D$4:$D$802,"&gt;"&amp;D312)</x:f>
        <x:v>43</x:v>
      </x:c>
      <x:c r="F312" s="102" t="n">
        <x:v>809974</x:v>
      </x:c>
      <x:c r="G312" s="126" t="n">
        <x:f>D312/F312*10000</x:f>
        <x:v>304.17025731690154</x:v>
      </x:c>
      <x:c r="H312" s="127" t="n">
        <x:f>1+COUNTIFS($C$4:$C$802,C312,$G$4:$G$802,"&gt;"&amp;G312)</x:f>
        <x:v>31</x:v>
      </x:c>
      <x:c r="I312" s="128" t="n">
        <x:f>D312/SUMIF($C$4:$C$802,C312,$D$4:$D$802)</x:f>
        <x:v>0.006591989383036136</x:v>
      </x:c>
      <x:c r="J312" s="103" t="n">
        <x:f>(D312/SUMIF($A$4:$A$802,A312,$D$4:$D$802))/(SUMIF($C$4:$C$802,C312,$D$4:$D$802)/SUM($D$4:$D$802))</x:f>
        <x:v>1.0429892000978718</x:v>
      </x:c>
    </x:row>
    <x:row r="313">
      <x:c r="A313" s="101" t="str">
        <x:v>山梨県</x:v>
      </x:c>
      <x:c r="B313" s="101" t="str">
        <x:v>E</x:v>
      </x:c>
      <x:c r="C313" s="101" t="str">
        <x:v>製造業</x:v>
      </x:c>
      <x:c r="D313" s="102" t="n">
        <x:v>77913</x:v>
      </x:c>
      <x:c r="E313" s="102" t="n">
        <x:f>1+COUNTIFS($C$4:$C$802,C313,$D$4:$D$802,"&gt;"&amp;D313)</x:f>
        <x:v>33</x:v>
      </x:c>
      <x:c r="F313" s="102" t="n">
        <x:v>809974</x:v>
      </x:c>
      <x:c r="G313" s="126" t="n">
        <x:f>D313/F313*10000</x:f>
        <x:v>961.9197653258007</x:v>
      </x:c>
      <x:c r="H313" s="127" t="n">
        <x:f>1+COUNTIFS($C$4:$C$802,C313,$G$4:$G$802,"&gt;"&amp;G313)</x:f>
        <x:v>13</x:v>
      </x:c>
      <x:c r="I313" s="128" t="n">
        <x:f>D313/SUMIF($C$4:$C$802,C313,$D$4:$D$802)</x:f>
        <x:v>0.008850086265424438</x:v>
      </x:c>
      <x:c r="J313" s="103" t="n">
        <x:f>(D313/SUMIF($A$4:$A$802,A313,$D$4:$D$802))/(SUMIF($C$4:$C$802,C313,$D$4:$D$802)/SUM($D$4:$D$802))</x:f>
        <x:v>1.400266878239539</x:v>
      </x:c>
    </x:row>
    <x:row r="314">
      <x:c r="A314" s="101" t="str">
        <x:v>山梨県</x:v>
      </x:c>
      <x:c r="B314" s="101" t="str">
        <x:v>F</x:v>
      </x:c>
      <x:c r="C314" s="101" t="str">
        <x:v>電気・ガス・熱供給・水道業</x:v>
      </x:c>
      <x:c r="D314" s="102" t="n">
        <x:v>1025</x:v>
      </x:c>
      <x:c r="E314" s="102" t="n">
        <x:f>1+COUNTIFS($C$4:$C$802,C314,$D$4:$D$802,"&gt;"&amp;D314)</x:f>
        <x:v>44</x:v>
      </x:c>
      <x:c r="F314" s="102" t="n">
        <x:v>809974</x:v>
      </x:c>
      <x:c r="G314" s="126" t="n">
        <x:f>D314/F314*10000</x:f>
        <x:v>12.654727188773961</x:v>
      </x:c>
      <x:c r="H314" s="127" t="n">
        <x:f>1+COUNTIFS($C$4:$C$802,C314,$G$4:$G$802,"&gt;"&amp;G314)</x:f>
        <x:v>35</x:v>
      </x:c>
      <x:c r="I314" s="128" t="n">
        <x:f>D314/SUMIF($C$4:$C$802,C314,$D$4:$D$802)</x:f>
        <x:v>0.005070517291700676</x:v>
      </x:c>
      <x:c r="J314" s="103" t="n">
        <x:f>(D314/SUMIF($A$4:$A$802,A314,$D$4:$D$802))/(SUMIF($C$4:$C$802,C314,$D$4:$D$802)/SUM($D$4:$D$802))</x:f>
        <x:v>0.8022608148858308</x:v>
      </x:c>
    </x:row>
    <x:row r="315">
      <x:c r="A315" s="101" t="str">
        <x:v>山梨県</x:v>
      </x:c>
      <x:c r="B315" s="101" t="str">
        <x:v>G</x:v>
      </x:c>
      <x:c r="C315" s="101" t="str">
        <x:v>情報通信業</x:v>
      </x:c>
      <x:c r="D315" s="102" t="n">
        <x:v>4621</x:v>
      </x:c>
      <x:c r="E315" s="102" t="n">
        <x:f>1+COUNTIFS($C$4:$C$802,C315,$D$4:$D$802,"&gt;"&amp;D315)</x:f>
        <x:v>37</x:v>
      </x:c>
      <x:c r="F315" s="102" t="n">
        <x:v>809974</x:v>
      </x:c>
      <x:c r="G315" s="126" t="n">
        <x:f>D315/F315*10000</x:f>
        <x:v>57.051213989584845</x:v>
      </x:c>
      <x:c r="H315" s="127" t="n">
        <x:f>1+COUNTIFS($C$4:$C$802,C315,$G$4:$G$802,"&gt;"&amp;G315)</x:f>
        <x:v>20</x:v>
      </x:c>
      <x:c r="I315" s="128" t="n">
        <x:f>D315/SUMIF($C$4:$C$802,C315,$D$4:$D$802)</x:f>
        <x:v>0.002325804959536228</x:v>
      </x:c>
      <x:c r="J315" s="103" t="n">
        <x:f>(D315/SUMIF($A$4:$A$802,A315,$D$4:$D$802))/(SUMIF($C$4:$C$802,C315,$D$4:$D$802)/SUM($D$4:$D$802))</x:f>
        <x:v>0.3679904977658026</x:v>
      </x:c>
    </x:row>
    <x:row r="316">
      <x:c r="A316" s="101" t="str">
        <x:v>山梨県</x:v>
      </x:c>
      <x:c r="B316" s="101" t="str">
        <x:v>H</x:v>
      </x:c>
      <x:c r="C316" s="101" t="str">
        <x:v>運輸業，郵便業</x:v>
      </x:c>
      <x:c r="D316" s="102" t="n">
        <x:v>15307</x:v>
      </x:c>
      <x:c r="E316" s="102" t="n">
        <x:f>1+COUNTIFS($C$4:$C$802,C316,$D$4:$D$802,"&gt;"&amp;D316)</x:f>
        <x:v>43</x:v>
      </x:c>
      <x:c r="F316" s="102" t="n">
        <x:v>809974</x:v>
      </x:c>
      <x:c r="G316" s="126" t="n">
        <x:f>D316/F316*10000</x:f>
        <x:v>188.9813747107932</x:v>
      </x:c>
      <x:c r="H316" s="127" t="n">
        <x:f>1+COUNTIFS($C$4:$C$802,C316,$G$4:$G$802,"&gt;"&amp;G316)</x:f>
        <x:v>41</x:v>
      </x:c>
      <x:c r="I316" s="128" t="n">
        <x:f>D316/SUMIF($C$4:$C$802,C316,$D$4:$D$802)</x:f>
        <x:v>0.004688590249619111</x:v>
      </x:c>
      <x:c r="J316" s="103" t="n">
        <x:f>(D316/SUMIF($A$4:$A$802,A316,$D$4:$D$802))/(SUMIF($C$4:$C$802,C316,$D$4:$D$802)/SUM($D$4:$D$802))</x:f>
        <x:v>0.7418320494601002</x:v>
      </x:c>
    </x:row>
    <x:row r="317">
      <x:c r="A317" s="101" t="str">
        <x:v>山梨県</x:v>
      </x:c>
      <x:c r="B317" s="101" t="str">
        <x:v>I</x:v>
      </x:c>
      <x:c r="C317" s="101" t="str">
        <x:v>卸売業，小売業</x:v>
      </x:c>
      <x:c r="D317" s="102" t="n">
        <x:v>69692</x:v>
      </x:c>
      <x:c r="E317" s="102" t="n">
        <x:f>1+COUNTIFS($C$4:$C$802,C317,$D$4:$D$802,"&gt;"&amp;D317)</x:f>
        <x:v>42</x:v>
      </x:c>
      <x:c r="F317" s="102" t="n">
        <x:v>809974</x:v>
      </x:c>
      <x:c r="G317" s="126" t="n">
        <x:f>D317/F317*10000</x:f>
        <x:v>860.4226802341803</x:v>
      </x:c>
      <x:c r="H317" s="127" t="n">
        <x:f>1+COUNTIFS($C$4:$C$802,C317,$G$4:$G$802,"&gt;"&amp;G317)</x:f>
        <x:v>20</x:v>
      </x:c>
      <x:c r="I317" s="128" t="n">
        <x:f>D317/SUMIF($C$4:$C$802,C317,$D$4:$D$802)</x:f>
        <x:v>0.006001761637434072</x:v>
      </x:c>
      <x:c r="J317" s="103" t="n">
        <x:f>(D317/SUMIF($A$4:$A$802,A317,$D$4:$D$802))/(SUMIF($C$4:$C$802,C317,$D$4:$D$802)/SUM($D$4:$D$802))</x:f>
        <x:v>0.9496029507441852</x:v>
      </x:c>
    </x:row>
    <x:row r="318">
      <x:c r="A318" s="101" t="str">
        <x:v>山梨県</x:v>
      </x:c>
      <x:c r="B318" s="101" t="str">
        <x:v>J</x:v>
      </x:c>
      <x:c r="C318" s="101" t="str">
        <x:v>金融業，保険業</x:v>
      </x:c>
      <x:c r="D318" s="102" t="n">
        <x:v>8697</x:v>
      </x:c>
      <x:c r="E318" s="102" t="n">
        <x:f>1+COUNTIFS($C$4:$C$802,C318,$D$4:$D$802,"&gt;"&amp;D318)</x:f>
        <x:v>42</x:v>
      </x:c>
      <x:c r="F318" s="102" t="n">
        <x:v>809974</x:v>
      </x:c>
      <x:c r="G318" s="126" t="n">
        <x:f>D318/F318*10000</x:f>
        <x:v>107.37381693733379</x:v>
      </x:c>
      <x:c r="H318" s="127" t="n">
        <x:f>1+COUNTIFS($C$4:$C$802,C318,$G$4:$G$802,"&gt;"&amp;G318)</x:f>
        <x:v>11</x:v>
      </x:c>
      <x:c r="I318" s="128" t="n">
        <x:f>D318/SUMIF($C$4:$C$802,C318,$D$4:$D$802)</x:f>
        <x:v>0.005819586787256196</x:v>
      </x:c>
      <x:c r="J318" s="103" t="n">
        <x:f>(D318/SUMIF($A$4:$A$802,A318,$D$4:$D$802))/(SUMIF($C$4:$C$802,C318,$D$4:$D$802)/SUM($D$4:$D$802))</x:f>
        <x:v>0.9207791177213445</x:v>
      </x:c>
    </x:row>
    <x:row r="319">
      <x:c r="A319" s="101" t="str">
        <x:v>山梨県</x:v>
      </x:c>
      <x:c r="B319" s="101" t="str">
        <x:v>K</x:v>
      </x:c>
      <x:c r="C319" s="101" t="str">
        <x:v>不動産業，物品賃貸業</x:v>
      </x:c>
      <x:c r="D319" s="102" t="n">
        <x:v>7086</x:v>
      </x:c>
      <x:c r="E319" s="102" t="n">
        <x:f>1+COUNTIFS($C$4:$C$802,C319,$D$4:$D$802,"&gt;"&amp;D319)</x:f>
        <x:v>40</x:v>
      </x:c>
      <x:c r="F319" s="102" t="n">
        <x:v>809974</x:v>
      </x:c>
      <x:c r="G319" s="126" t="n">
        <x:f>D319/F319*10000</x:f>
        <x:v>87.48428961917297</x:v>
      </x:c>
      <x:c r="H319" s="127" t="n">
        <x:f>1+COUNTIFS($C$4:$C$802,C319,$G$4:$G$802,"&gt;"&amp;G319)</x:f>
        <x:v>24</x:v>
      </x:c>
      <x:c r="I319" s="128" t="n">
        <x:f>D319/SUMIF($C$4:$C$802,C319,$D$4:$D$802)</x:f>
        <x:v>0.004379107344367415</x:v>
      </x:c>
      <x:c r="J319" s="103" t="n">
        <x:f>(D319/SUMIF($A$4:$A$802,A319,$D$4:$D$802))/(SUMIF($C$4:$C$802,C319,$D$4:$D$802)/SUM($D$4:$D$802))</x:f>
        <x:v>0.6928654463549594</x:v>
      </x:c>
    </x:row>
    <x:row r="320">
      <x:c r="A320" s="101" t="str">
        <x:v>山梨県</x:v>
      </x:c>
      <x:c r="B320" s="101" t="str">
        <x:v>L</x:v>
      </x:c>
      <x:c r="C320" s="101" t="str">
        <x:v>学術研究，専門・技術サービス業</x:v>
      </x:c>
      <x:c r="D320" s="102" t="n">
        <x:v>7568</x:v>
      </x:c>
      <x:c r="E320" s="102" t="n">
        <x:f>1+COUNTIFS($C$4:$C$802,C320,$D$4:$D$802,"&gt;"&amp;D320)</x:f>
        <x:v>42</x:v>
      </x:c>
      <x:c r="F320" s="102" t="n">
        <x:v>809974</x:v>
      </x:c>
      <x:c r="G320" s="126" t="n">
        <x:f>D320/F320*10000</x:f>
        <x:v>93.43509791672325</x:v>
      </x:c>
      <x:c r="H320" s="127" t="n">
        <x:f>1+COUNTIFS($C$4:$C$802,C320,$G$4:$G$802,"&gt;"&amp;G320)</x:f>
        <x:v>37</x:v>
      </x:c>
      <x:c r="I320" s="128" t="n">
        <x:f>D320/SUMIF($C$4:$C$802,C320,$D$4:$D$802)</x:f>
        <x:v>0.0035716308308005964</x:v>
      </x:c>
      <x:c r="J320" s="103" t="n">
        <x:f>(D320/SUMIF($A$4:$A$802,A320,$D$4:$D$802))/(SUMIF($C$4:$C$802,C320,$D$4:$D$802)/SUM($D$4:$D$802))</x:f>
        <x:v>0.5651059440186588</x:v>
      </x:c>
    </x:row>
    <x:row r="321">
      <x:c r="A321" s="101" t="str">
        <x:v>山梨県</x:v>
      </x:c>
      <x:c r="B321" s="101" t="str">
        <x:v>M</x:v>
      </x:c>
      <x:c r="C321" s="101" t="str">
        <x:v>宿泊業，飲食サービス業</x:v>
      </x:c>
      <x:c r="D321" s="102" t="n">
        <x:v>36785</x:v>
      </x:c>
      <x:c r="E321" s="102" t="n">
        <x:f>1+COUNTIFS($C$4:$C$802,C321,$D$4:$D$802,"&gt;"&amp;D321)</x:f>
        <x:v>33</x:v>
      </x:c>
      <x:c r="F321" s="102" t="n">
        <x:v>809974</x:v>
      </x:c>
      <x:c r="G321" s="126" t="n">
        <x:f>D321/F321*10000</x:f>
        <x:v>454.1503801356587</x:v>
      </x:c>
      <x:c r="H321" s="127" t="n">
        <x:f>1+COUNTIFS($C$4:$C$802,C321,$G$4:$G$802,"&gt;"&amp;G321)</x:f>
        <x:v>3</x:v>
      </x:c>
      <x:c r="I321" s="128" t="n">
        <x:f>D321/SUMIF($C$4:$C$802,C321,$D$4:$D$802)</x:f>
        <x:v>0.007862161150686114</x:v>
      </x:c>
      <x:c r="J321" s="103" t="n">
        <x:f>(D321/SUMIF($A$4:$A$802,A321,$D$4:$D$802))/(SUMIF($C$4:$C$802,C321,$D$4:$D$802)/SUM($D$4:$D$802))</x:f>
        <x:v>1.2439566712132433</x:v>
      </x:c>
    </x:row>
    <x:row r="322">
      <x:c r="A322" s="101" t="str">
        <x:v>山梨県</x:v>
      </x:c>
      <x:c r="B322" s="101" t="str">
        <x:v>N</x:v>
      </x:c>
      <x:c r="C322" s="101" t="str">
        <x:v>生活関連サービス業，娯楽業</x:v>
      </x:c>
      <x:c r="D322" s="102" t="n">
        <x:v>16093</x:v>
      </x:c>
      <x:c r="E322" s="102" t="n">
        <x:f>1+COUNTIFS($C$4:$C$802,C322,$D$4:$D$802,"&gt;"&amp;D322)</x:f>
        <x:v>39</x:v>
      </x:c>
      <x:c r="F322" s="102" t="n">
        <x:v>809974</x:v>
      </x:c>
      <x:c r="G322" s="126" t="n">
        <x:f>D322/F322*10000</x:f>
        <x:v>198.68538990140422</x:v>
      </x:c>
      <x:c r="H322" s="127" t="n">
        <x:f>1+COUNTIFS($C$4:$C$802,C322,$G$4:$G$802,"&gt;"&amp;G322)</x:f>
        <x:v>2</x:v>
      </x:c>
      <x:c r="I322" s="128" t="n">
        <x:f>D322/SUMIF($C$4:$C$802,C322,$D$4:$D$802)</x:f>
        <x:v>0.007395207750975466</x:v>
      </x:c>
      <x:c r="J322" s="103" t="n">
        <x:f>(D322/SUMIF($A$4:$A$802,A322,$D$4:$D$802))/(SUMIF($C$4:$C$802,C322,$D$4:$D$802)/SUM($D$4:$D$802))</x:f>
        <x:v>1.1700749756358035</x:v>
      </x:c>
    </x:row>
    <x:row r="323">
      <x:c r="A323" s="101" t="str">
        <x:v>山梨県</x:v>
      </x:c>
      <x:c r="B323" s="101" t="str">
        <x:v>O</x:v>
      </x:c>
      <x:c r="C323" s="101" t="str">
        <x:v>教育，学習支援業</x:v>
      </x:c>
      <x:c r="D323" s="102" t="n">
        <x:v>12176</x:v>
      </x:c>
      <x:c r="E323" s="102" t="n">
        <x:f>1+COUNTIFS($C$4:$C$802,C323,$D$4:$D$802,"&gt;"&amp;D323)</x:f>
        <x:v>37</x:v>
      </x:c>
      <x:c r="F323" s="102" t="n">
        <x:v>809974</x:v>
      </x:c>
      <x:c r="G323" s="126" t="n">
        <x:f>D323/F323*10000</x:f>
        <x:v>150.32581292732854</x:v>
      </x:c>
      <x:c r="H323" s="127" t="n">
        <x:f>1+COUNTIFS($C$4:$C$802,C323,$G$4:$G$802,"&gt;"&amp;G323)</x:f>
        <x:v>12</x:v>
      </x:c>
      <x:c r="I323" s="128" t="n">
        <x:f>D323/SUMIF($C$4:$C$802,C323,$D$4:$D$802)</x:f>
        <x:v>0.006241753104216157</x:v>
      </x:c>
      <x:c r="J323" s="103" t="n">
        <x:f>(D323/SUMIF($A$4:$A$802,A323,$D$4:$D$802))/(SUMIF($C$4:$C$802,C323,$D$4:$D$802)/SUM($D$4:$D$802))</x:f>
        <x:v>0.9875745695416163</x:v>
      </x:c>
    </x:row>
    <x:row r="324">
      <x:c r="A324" s="101" t="str">
        <x:v>山梨県</x:v>
      </x:c>
      <x:c r="B324" s="101" t="str">
        <x:v>P</x:v>
      </x:c>
      <x:c r="C324" s="101" t="str">
        <x:v>医療，福祉</x:v>
      </x:c>
      <x:c r="D324" s="102" t="n">
        <x:v>48887</x:v>
      </x:c>
      <x:c r="E324" s="102" t="n">
        <x:f>1+COUNTIFS($C$4:$C$802,C324,$D$4:$D$802,"&gt;"&amp;D324)</x:f>
        <x:v>45</x:v>
      </x:c>
      <x:c r="F324" s="102" t="n">
        <x:v>809974</x:v>
      </x:c>
      <x:c r="G324" s="126" t="n">
        <x:f>D324/F324*10000</x:f>
        <x:v>603.5625834903342</x:v>
      </x:c>
      <x:c r="H324" s="127" t="n">
        <x:f>1+COUNTIFS($C$4:$C$802,C324,$G$4:$G$802,"&gt;"&amp;G324)</x:f>
        <x:v>35</x:v>
      </x:c>
      <x:c r="I324" s="128" t="n">
        <x:f>D324/SUMIF($C$4:$C$802,C324,$D$4:$D$802)</x:f>
        <x:v>0.005989293832523237</x:v>
      </x:c>
      <x:c r="J324" s="103" t="n">
        <x:f>(D324/SUMIF($A$4:$A$802,A324,$D$4:$D$802))/(SUMIF($C$4:$C$802,C324,$D$4:$D$802)/SUM($D$4:$D$802))</x:f>
        <x:v>0.9476302858754595</x:v>
      </x:c>
    </x:row>
    <x:row r="325">
      <x:c r="A325" s="101" t="str">
        <x:v>山梨県</x:v>
      </x:c>
      <x:c r="B325" s="101" t="str">
        <x:v>Q</x:v>
      </x:c>
      <x:c r="C325" s="101" t="str">
        <x:v>複合サービス事業</x:v>
      </x:c>
      <x:c r="D325" s="102" t="n">
        <x:v>3511</x:v>
      </x:c>
      <x:c r="E325" s="102" t="n">
        <x:f>1+COUNTIFS($C$4:$C$802,C325,$D$4:$D$802,"&gt;"&amp;D325)</x:f>
        <x:v>44</x:v>
      </x:c>
      <x:c r="F325" s="102" t="n">
        <x:v>809974</x:v>
      </x:c>
      <x:c r="G325" s="126" t="n">
        <x:f>D325/F325*10000</x:f>
        <x:v>43.34707039979061</x:v>
      </x:c>
      <x:c r="H325" s="127" t="n">
        <x:f>1+COUNTIFS($C$4:$C$802,C325,$G$4:$G$802,"&gt;"&amp;G325)</x:f>
        <x:v>25</x:v>
      </x:c>
      <x:c r="I325" s="128" t="n">
        <x:f>D325/SUMIF($C$4:$C$802,C325,$D$4:$D$802)</x:f>
        <x:v>0.008053306420166524</x:v>
      </x:c>
      <x:c r="J325" s="103" t="n">
        <x:f>(D325/SUMIF($A$4:$A$802,A325,$D$4:$D$802))/(SUMIF($C$4:$C$802,C325,$D$4:$D$802)/SUM($D$4:$D$802))</x:f>
        <x:v>1.2741998102921543</x:v>
      </x:c>
    </x:row>
    <x:row r="326">
      <x:c r="A326" s="101" t="str">
        <x:v>山梨県</x:v>
      </x:c>
      <x:c r="B326" s="101" t="str">
        <x:v>R</x:v>
      </x:c>
      <x:c r="C326" s="101" t="str">
        <x:v>サービス業（他に分類されないもの）</x:v>
      </x:c>
      <x:c r="D326" s="102" t="n">
        <x:v>28347</x:v>
      </x:c>
      <x:c r="E326" s="102" t="n">
        <x:f>1+COUNTIFS($C$4:$C$802,C326,$D$4:$D$802,"&gt;"&amp;D326)</x:f>
        <x:v>40</x:v>
      </x:c>
      <x:c r="F326" s="102" t="n">
        <x:v>809974</x:v>
      </x:c>
      <x:c r="G326" s="126" t="n">
        <x:f>D326/F326*10000</x:f>
        <x:v>349.97419670261024</x:v>
      </x:c>
      <x:c r="H326" s="127" t="n">
        <x:f>1+COUNTIFS($C$4:$C$802,C326,$G$4:$G$802,"&gt;"&amp;G326)</x:f>
        <x:v>18</x:v>
      </x:c>
      <x:c r="I326" s="128" t="n">
        <x:f>D326/SUMIF($C$4:$C$802,C326,$D$4:$D$802)</x:f>
        <x:v>0.005415585584191465</x:v>
      </x:c>
      <x:c r="J326" s="103" t="n">
        <x:f>(D326/SUMIF($A$4:$A$802,A326,$D$4:$D$802))/(SUMIF($C$4:$C$802,C326,$D$4:$D$802)/SUM($D$4:$D$802))</x:f>
        <x:v>0.856857763007483</x:v>
      </x:c>
    </x:row>
    <x:row r="327">
      <x:c r="A327" s="101" t="str">
        <x:v>長野県</x:v>
      </x:c>
      <x:c r="B327" s="101" t="str">
        <x:v>AB</x:v>
      </x:c>
      <x:c r="C327" s="101" t="str">
        <x:v>農林漁業</x:v>
      </x:c>
      <x:c r="D327" s="102" t="n">
        <x:v>16350</x:v>
      </x:c>
      <x:c r="E327" s="102" t="n">
        <x:f>1+COUNTIFS($C$4:$C$802,C327,$D$4:$D$802,"&gt;"&amp;D327)</x:f>
        <x:v>4</x:v>
      </x:c>
      <x:c r="F327" s="102" t="n">
        <x:v>2048011</x:v>
      </x:c>
      <x:c r="G327" s="126" t="n">
        <x:f>D327/F327*10000</x:f>
        <x:v>79.83355558148858</x:v>
      </x:c>
      <x:c r="H327" s="127" t="n">
        <x:f>1+COUNTIFS($C$4:$C$802,C327,$G$4:$G$802,"&gt;"&amp;G327)</x:f>
        <x:v>12</x:v>
      </x:c>
      <x:c r="I327" s="128" t="n">
        <x:f>D327/SUMIF($C$4:$C$802,C327,$D$4:$D$802)</x:f>
        <x:v>0.0360367905876752</x:v>
      </x:c>
      <x:c r="J327" s="103" t="n">
        <x:f>(D327/SUMIF($A$4:$A$802,A327,$D$4:$D$802))/(SUMIF($C$4:$C$802,C327,$D$4:$D$802)/SUM($D$4:$D$802))</x:f>
        <x:v>2.2457613108411647</x:v>
      </x:c>
    </x:row>
    <x:row r="328">
      <x:c r="A328" s="101" t="str">
        <x:v>長野県</x:v>
      </x:c>
      <x:c r="B328" s="101" t="str">
        <x:v>C</x:v>
      </x:c>
      <x:c r="C328" s="101" t="str">
        <x:v>鉱業，採石業，砂利採取業</x:v>
      </x:c>
      <x:c r="D328" s="102" t="n">
        <x:v>362</x:v>
      </x:c>
      <x:c r="E328" s="102" t="n">
        <x:f>1+COUNTIFS($C$4:$C$802,C328,$D$4:$D$802,"&gt;"&amp;D328)</x:f>
        <x:v>24</x:v>
      </x:c>
      <x:c r="F328" s="102" t="n">
        <x:v>2048011</x:v>
      </x:c>
      <x:c r="G328" s="126" t="n">
        <x:f>D328/F328*10000</x:f>
        <x:v>1.7675686312231722</x:v>
      </x:c>
      <x:c r="H328" s="127" t="n">
        <x:f>1+COUNTIFS($C$4:$C$802,C328,$G$4:$G$802,"&gt;"&amp;G328)</x:f>
        <x:v>21</x:v>
      </x:c>
      <x:c r="I328" s="128" t="n">
        <x:f>D328/SUMIF($C$4:$C$802,C328,$D$4:$D$802)</x:f>
        <x:v>0.018378433263948824</x:v>
      </x:c>
      <x:c r="J328" s="103" t="n">
        <x:f>(D328/SUMIF($A$4:$A$802,A328,$D$4:$D$802))/(SUMIF($C$4:$C$802,C328,$D$4:$D$802)/SUM($D$4:$D$802))</x:f>
        <x:v>1.1453177074034</x:v>
      </x:c>
    </x:row>
    <x:row r="329">
      <x:c r="A329" s="101" t="str">
        <x:v>長野県</x:v>
      </x:c>
      <x:c r="B329" s="101" t="str">
        <x:v>D</x:v>
      </x:c>
      <x:c r="C329" s="101" t="str">
        <x:v>建設業</x:v>
      </x:c>
      <x:c r="D329" s="102" t="n">
        <x:v>63789</x:v>
      </x:c>
      <x:c r="E329" s="102" t="n">
        <x:f>1+COUNTIFS($C$4:$C$802,C329,$D$4:$D$802,"&gt;"&amp;D329)</x:f>
        <x:v>16</x:v>
      </x:c>
      <x:c r="F329" s="102" t="n">
        <x:v>2048011</x:v>
      </x:c>
      <x:c r="G329" s="126" t="n">
        <x:f>D329/F329*10000</x:f>
        <x:v>311.46805363838376</x:v>
      </x:c>
      <x:c r="H329" s="127" t="n">
        <x:f>1+COUNTIFS($C$4:$C$802,C329,$G$4:$G$802,"&gt;"&amp;G329)</x:f>
        <x:v>25</x:v>
      </x:c>
      <x:c r="I329" s="128" t="n">
        <x:f>D329/SUMIF($C$4:$C$802,C329,$D$4:$D$802)</x:f>
        <x:v>0.017067679131164186</x:v>
      </x:c>
      <x:c r="J329" s="103" t="n">
        <x:f>(D329/SUMIF($A$4:$A$802,A329,$D$4:$D$802))/(SUMIF($C$4:$C$802,C329,$D$4:$D$802)/SUM($D$4:$D$802))</x:f>
        <x:v>1.0636333822615365</x:v>
      </x:c>
    </x:row>
    <x:row r="330">
      <x:c r="A330" s="101" t="str">
        <x:v>長野県</x:v>
      </x:c>
      <x:c r="B330" s="101" t="str">
        <x:v>E</x:v>
      </x:c>
      <x:c r="C330" s="101" t="str">
        <x:v>製造業</x:v>
      </x:c>
      <x:c r="D330" s="102" t="n">
        <x:v>215969</x:v>
      </x:c>
      <x:c r="E330" s="102" t="n">
        <x:f>1+COUNTIFS($C$4:$C$802,C330,$D$4:$D$802,"&gt;"&amp;D330)</x:f>
        <x:v>14</x:v>
      </x:c>
      <x:c r="F330" s="102" t="n">
        <x:v>2048011</x:v>
      </x:c>
      <x:c r="G330" s="126" t="n">
        <x:f>D330/F330*10000</x:f>
        <x:v>1054.5304688304896</x:v>
      </x:c>
      <x:c r="H330" s="127" t="n">
        <x:f>1+COUNTIFS($C$4:$C$802,C330,$G$4:$G$802,"&gt;"&amp;G330)</x:f>
        <x:v>9</x:v>
      </x:c>
      <x:c r="I330" s="128" t="n">
        <x:f>D330/SUMIF($C$4:$C$802,C330,$D$4:$D$802)</x:f>
        <x:v>0.024531776220366956</x:v>
      </x:c>
      <x:c r="J330" s="103" t="n">
        <x:f>(D330/SUMIF($A$4:$A$802,A330,$D$4:$D$802))/(SUMIF($C$4:$C$802,C330,$D$4:$D$802)/SUM($D$4:$D$802))</x:f>
        <x:v>1.5287852503922863</x:v>
      </x:c>
    </x:row>
    <x:row r="331">
      <x:c r="A331" s="101" t="str">
        <x:v>長野県</x:v>
      </x:c>
      <x:c r="B331" s="101" t="str">
        <x:v>F</x:v>
      </x:c>
      <x:c r="C331" s="101" t="str">
        <x:v>電気・ガス・熱供給・水道業</x:v>
      </x:c>
      <x:c r="D331" s="102" t="n">
        <x:v>3772</x:v>
      </x:c>
      <x:c r="E331" s="102" t="n">
        <x:f>1+COUNTIFS($C$4:$C$802,C331,$D$4:$D$802,"&gt;"&amp;D331)</x:f>
        <x:v>16</x:v>
      </x:c>
      <x:c r="F331" s="102" t="n">
        <x:v>2048011</x:v>
      </x:c>
      <x:c r="G331" s="126" t="n">
        <x:f>D331/F331*10000</x:f>
        <x:v>18.417869825894492</x:v>
      </x:c>
      <x:c r="H331" s="127" t="n">
        <x:f>1+COUNTIFS($C$4:$C$802,C331,$G$4:$G$802,"&gt;"&amp;G331)</x:f>
        <x:v>14</x:v>
      </x:c>
      <x:c r="I331" s="128" t="n">
        <x:f>D331/SUMIF($C$4:$C$802,C331,$D$4:$D$802)</x:f>
        <x:v>0.018659503633458488</x:v>
      </x:c>
      <x:c r="J331" s="103" t="n">
        <x:f>(D331/SUMIF($A$4:$A$802,A331,$D$4:$D$802))/(SUMIF($C$4:$C$802,C331,$D$4:$D$802)/SUM($D$4:$D$802))</x:f>
        <x:v>1.1628336113220057</x:v>
      </x:c>
    </x:row>
    <x:row r="332">
      <x:c r="A332" s="101" t="str">
        <x:v>長野県</x:v>
      </x:c>
      <x:c r="B332" s="101" t="str">
        <x:v>G</x:v>
      </x:c>
      <x:c r="C332" s="101" t="str">
        <x:v>情報通信業</x:v>
      </x:c>
      <x:c r="D332" s="102" t="n">
        <x:v>12599</x:v>
      </x:c>
      <x:c r="E332" s="102" t="n">
        <x:f>1+COUNTIFS($C$4:$C$802,C332,$D$4:$D$802,"&gt;"&amp;D332)</x:f>
        <x:v>16</x:v>
      </x:c>
      <x:c r="F332" s="102" t="n">
        <x:v>2048011</x:v>
      </x:c>
      <x:c r="G332" s="126" t="n">
        <x:f>D332/F332*10000</x:f>
        <x:v>61.51822426735012</x:v>
      </x:c>
      <x:c r="H332" s="127" t="n">
        <x:f>1+COUNTIFS($C$4:$C$802,C332,$G$4:$G$802,"&gt;"&amp;G332)</x:f>
        <x:v>17</x:v>
      </x:c>
      <x:c r="I332" s="128" t="n">
        <x:f>D332/SUMIF($C$4:$C$802,C332,$D$4:$D$802)</x:f>
        <x:v>0.006341228453840497</x:v>
      </x:c>
      <x:c r="J332" s="103" t="n">
        <x:f>(D332/SUMIF($A$4:$A$802,A332,$D$4:$D$802))/(SUMIF($C$4:$C$802,C332,$D$4:$D$802)/SUM($D$4:$D$802))</x:f>
        <x:v>0.3951762987936722</x:v>
      </x:c>
    </x:row>
    <x:row r="333">
      <x:c r="A333" s="101" t="str">
        <x:v>長野県</x:v>
      </x:c>
      <x:c r="B333" s="101" t="str">
        <x:v>H</x:v>
      </x:c>
      <x:c r="C333" s="101" t="str">
        <x:v>運輸業，郵便業</x:v>
      </x:c>
      <x:c r="D333" s="102" t="n">
        <x:v>41616</x:v>
      </x:c>
      <x:c r="E333" s="102" t="n">
        <x:f>1+COUNTIFS($C$4:$C$802,C333,$D$4:$D$802,"&gt;"&amp;D333)</x:f>
        <x:v>21</x:v>
      </x:c>
      <x:c r="F333" s="102" t="n">
        <x:v>2048011</x:v>
      </x:c>
      <x:c r="G333" s="126" t="n">
        <x:f>D333/F333*10000</x:f>
        <x:v>203.20203358282743</x:v>
      </x:c>
      <x:c r="H333" s="127" t="n">
        <x:f>1+COUNTIFS($C$4:$C$802,C333,$G$4:$G$802,"&gt;"&amp;G333)</x:f>
        <x:v>33</x:v>
      </x:c>
      <x:c r="I333" s="128" t="n">
        <x:f>D333/SUMIF($C$4:$C$802,C333,$D$4:$D$802)</x:f>
        <x:v>0.012747133457120856</x:v>
      </x:c>
      <x:c r="J333" s="103" t="n">
        <x:f>(D333/SUMIF($A$4:$A$802,A333,$D$4:$D$802))/(SUMIF($C$4:$C$802,C333,$D$4:$D$802)/SUM($D$4:$D$802))</x:f>
        <x:v>0.7943831477579366</x:v>
      </x:c>
    </x:row>
    <x:row r="334">
      <x:c r="A334" s="101" t="str">
        <x:v>長野県</x:v>
      </x:c>
      <x:c r="B334" s="101" t="str">
        <x:v>I</x:v>
      </x:c>
      <x:c r="C334" s="101" t="str">
        <x:v>卸売業，小売業</x:v>
      </x:c>
      <x:c r="D334" s="102" t="n">
        <x:v>174971</x:v>
      </x:c>
      <x:c r="E334" s="102" t="n">
        <x:f>1+COUNTIFS($C$4:$C$802,C334,$D$4:$D$802,"&gt;"&amp;D334)</x:f>
        <x:v>16</x:v>
      </x:c>
      <x:c r="F334" s="102" t="n">
        <x:v>2048011</x:v>
      </x:c>
      <x:c r="G334" s="126" t="n">
        <x:f>D334/F334*10000</x:f>
        <x:v>854.3459971650542</x:v>
      </x:c>
      <x:c r="H334" s="127" t="n">
        <x:f>1+COUNTIFS($C$4:$C$802,C334,$G$4:$G$802,"&gt;"&amp;G334)</x:f>
        <x:v>24</x:v>
      </x:c>
      <x:c r="I334" s="128" t="n">
        <x:f>D334/SUMIF($C$4:$C$802,C334,$D$4:$D$802)</x:f>
        <x:v>0.015068217807832707</x:v>
      </x:c>
      <x:c r="J334" s="103" t="n">
        <x:f>(D334/SUMIF($A$4:$A$802,A334,$D$4:$D$802))/(SUMIF($C$4:$C$802,C334,$D$4:$D$802)/SUM($D$4:$D$802))</x:f>
        <x:v>0.9390298088235394</x:v>
      </x:c>
    </x:row>
    <x:row r="335">
      <x:c r="A335" s="101" t="str">
        <x:v>長野県</x:v>
      </x:c>
      <x:c r="B335" s="101" t="str">
        <x:v>J</x:v>
      </x:c>
      <x:c r="C335" s="101" t="str">
        <x:v>金融業，保険業</x:v>
      </x:c>
      <x:c r="D335" s="102" t="n">
        <x:v>19747</x:v>
      </x:c>
      <x:c r="E335" s="102" t="n">
        <x:f>1+COUNTIFS($C$4:$C$802,C335,$D$4:$D$802,"&gt;"&amp;D335)</x:f>
        <x:v>18</x:v>
      </x:c>
      <x:c r="F335" s="102" t="n">
        <x:v>2048011</x:v>
      </x:c>
      <x:c r="G335" s="126" t="n">
        <x:f>D335/F335*10000</x:f>
        <x:v>96.42038055459663</x:v>
      </x:c>
      <x:c r="H335" s="127" t="n">
        <x:f>1+COUNTIFS($C$4:$C$802,C335,$G$4:$G$802,"&gt;"&amp;G335)</x:f>
        <x:v>26</x:v>
      </x:c>
      <x:c r="I335" s="128" t="n">
        <x:f>D335/SUMIF($C$4:$C$802,C335,$D$4:$D$802)</x:f>
        <x:v>0.013213680612619075</x:v>
      </x:c>
      <x:c r="J335" s="103" t="n">
        <x:f>(D335/SUMIF($A$4:$A$802,A335,$D$4:$D$802))/(SUMIF($C$4:$C$802,C335,$D$4:$D$802)/SUM($D$4:$D$802))</x:f>
        <x:v>0.8234577000256192</x:v>
      </x:c>
    </x:row>
    <x:row r="336">
      <x:c r="A336" s="101" t="str">
        <x:v>長野県</x:v>
      </x:c>
      <x:c r="B336" s="101" t="str">
        <x:v>K</x:v>
      </x:c>
      <x:c r="C336" s="101" t="str">
        <x:v>不動産業，物品賃貸業</x:v>
      </x:c>
      <x:c r="D336" s="102" t="n">
        <x:v>20190</x:v>
      </x:c>
      <x:c r="E336" s="102" t="n">
        <x:f>1+COUNTIFS($C$4:$C$802,C336,$D$4:$D$802,"&gt;"&amp;D336)</x:f>
        <x:v>15</x:v>
      </x:c>
      <x:c r="F336" s="102" t="n">
        <x:v>2048011</x:v>
      </x:c>
      <x:c r="G336" s="126" t="n">
        <x:f>D336/F336*10000</x:f>
        <x:v>98.58345487402167</x:v>
      </x:c>
      <x:c r="H336" s="127" t="n">
        <x:f>1+COUNTIFS($C$4:$C$802,C336,$G$4:$G$802,"&gt;"&amp;G336)</x:f>
        <x:v>15</x:v>
      </x:c>
      <x:c r="I336" s="128" t="n">
        <x:f>D336/SUMIF($C$4:$C$802,C336,$D$4:$D$802)</x:f>
        <x:v>0.012477304160708172</x:v>
      </x:c>
      <x:c r="J336" s="103" t="n">
        <x:f>(D336/SUMIF($A$4:$A$802,A336,$D$4:$D$802))/(SUMIF($C$4:$C$802,C336,$D$4:$D$802)/SUM($D$4:$D$802))</x:f>
        <x:v>0.7775677714568532</x:v>
      </x:c>
    </x:row>
    <x:row r="337">
      <x:c r="A337" s="101" t="str">
        <x:v>長野県</x:v>
      </x:c>
      <x:c r="B337" s="101" t="str">
        <x:v>L</x:v>
      </x:c>
      <x:c r="C337" s="101" t="str">
        <x:v>学術研究，専門・技術サービス業</x:v>
      </x:c>
      <x:c r="D337" s="102" t="n">
        <x:v>21099</x:v>
      </x:c>
      <x:c r="E337" s="102" t="n">
        <x:f>1+COUNTIFS($C$4:$C$802,C337,$D$4:$D$802,"&gt;"&amp;D337)</x:f>
        <x:v>19</x:v>
      </x:c>
      <x:c r="F337" s="102" t="n">
        <x:v>2048011</x:v>
      </x:c>
      <x:c r="G337" s="126" t="n">
        <x:f>D337/F337*10000</x:f>
        <x:v>103.02190759717598</x:v>
      </x:c>
      <x:c r="H337" s="127" t="n">
        <x:f>1+COUNTIFS($C$4:$C$802,C337,$G$4:$G$802,"&gt;"&amp;G337)</x:f>
        <x:v>28</x:v>
      </x:c>
      <x:c r="I337" s="128" t="n">
        <x:f>D337/SUMIF($C$4:$C$802,C337,$D$4:$D$802)</x:f>
        <x:v>0.009957431144167783</x:v>
      </x:c>
      <x:c r="J337" s="103" t="n">
        <x:f>(D337/SUMIF($A$4:$A$802,A337,$D$4:$D$802))/(SUMIF($C$4:$C$802,C337,$D$4:$D$802)/SUM($D$4:$D$802))</x:f>
        <x:v>0.6205328847065762</x:v>
      </x:c>
    </x:row>
    <x:row r="338">
      <x:c r="A338" s="101" t="str">
        <x:v>長野県</x:v>
      </x:c>
      <x:c r="B338" s="101" t="str">
        <x:v>M</x:v>
      </x:c>
      <x:c r="C338" s="101" t="str">
        <x:v>宿泊業，飲食サービス業</x:v>
      </x:c>
      <x:c r="D338" s="102" t="n">
        <x:v>82961</x:v>
      </x:c>
      <x:c r="E338" s="102" t="n">
        <x:f>1+COUNTIFS($C$4:$C$802,C338,$D$4:$D$802,"&gt;"&amp;D338)</x:f>
        <x:v>13</x:v>
      </x:c>
      <x:c r="F338" s="102" t="n">
        <x:v>2048011</x:v>
      </x:c>
      <x:c r="G338" s="126" t="n">
        <x:f>D338/F338*10000</x:f>
        <x:v>405.08083208537454</x:v>
      </x:c>
      <x:c r="H338" s="127" t="n">
        <x:f>1+COUNTIFS($C$4:$C$802,C338,$G$4:$G$802,"&gt;"&amp;G338)</x:f>
        <x:v>7</x:v>
      </x:c>
      <x:c r="I338" s="128" t="n">
        <x:f>D338/SUMIF($C$4:$C$802,C338,$D$4:$D$802)</x:f>
        <x:v>0.017731487052387408</x:v>
      </x:c>
      <x:c r="J338" s="103" t="n">
        <x:f>(D338/SUMIF($A$4:$A$802,A338,$D$4:$D$802))/(SUMIF($C$4:$C$802,C338,$D$4:$D$802)/SUM($D$4:$D$802))</x:f>
        <x:v>1.1050009436620476</x:v>
      </x:c>
    </x:row>
    <x:row r="339">
      <x:c r="A339" s="101" t="str">
        <x:v>長野県</x:v>
      </x:c>
      <x:c r="B339" s="101" t="str">
        <x:v>N</x:v>
      </x:c>
      <x:c r="C339" s="101" t="str">
        <x:v>生活関連サービス業，娯楽業</x:v>
      </x:c>
      <x:c r="D339" s="102" t="n">
        <x:v>35431</x:v>
      </x:c>
      <x:c r="E339" s="102" t="n">
        <x:f>1+COUNTIFS($C$4:$C$802,C339,$D$4:$D$802,"&gt;"&amp;D339)</x:f>
        <x:v>18</x:v>
      </x:c>
      <x:c r="F339" s="102" t="n">
        <x:v>2048011</x:v>
      </x:c>
      <x:c r="G339" s="126" t="n">
        <x:f>D339/F339*10000</x:f>
        <x:v>173.0020004775365</x:v>
      </x:c>
      <x:c r="H339" s="127" t="n">
        <x:f>1+COUNTIFS($C$4:$C$802,C339,$G$4:$G$802,"&gt;"&amp;G339)</x:f>
        <x:v>14</x:v>
      </x:c>
      <x:c r="I339" s="128" t="n">
        <x:f>D339/SUMIF($C$4:$C$802,C339,$D$4:$D$802)</x:f>
        <x:v>0.016281588630138056</x:v>
      </x:c>
      <x:c r="J339" s="103" t="n">
        <x:f>(D339/SUMIF($A$4:$A$802,A339,$D$4:$D$802))/(SUMIF($C$4:$C$802,C339,$D$4:$D$802)/SUM($D$4:$D$802))</x:f>
        <x:v>1.0146453451684667</x:v>
      </x:c>
    </x:row>
    <x:row r="340">
      <x:c r="A340" s="101" t="str">
        <x:v>長野県</x:v>
      </x:c>
      <x:c r="B340" s="101" t="str">
        <x:v>O</x:v>
      </x:c>
      <x:c r="C340" s="101" t="str">
        <x:v>教育，学習支援業</x:v>
      </x:c>
      <x:c r="D340" s="102" t="n">
        <x:v>19182</x:v>
      </x:c>
      <x:c r="E340" s="102" t="n">
        <x:f>1+COUNTIFS($C$4:$C$802,C340,$D$4:$D$802,"&gt;"&amp;D340)</x:f>
        <x:v>25</x:v>
      </x:c>
      <x:c r="F340" s="102" t="n">
        <x:v>2048011</x:v>
      </x:c>
      <x:c r="G340" s="126" t="n">
        <x:f>D340/F340*10000</x:f>
        <x:v>93.66160630973174</x:v>
      </x:c>
      <x:c r="H340" s="127" t="n">
        <x:f>1+COUNTIFS($C$4:$C$802,C340,$G$4:$G$802,"&gt;"&amp;G340)</x:f>
        <x:v>47</x:v>
      </x:c>
      <x:c r="I340" s="128" t="n">
        <x:f>D340/SUMIF($C$4:$C$802,C340,$D$4:$D$802)</x:f>
        <x:v>0.009833221751402292</x:v>
      </x:c>
      <x:c r="J340" s="103" t="n">
        <x:f>(D340/SUMIF($A$4:$A$802,A340,$D$4:$D$802))/(SUMIF($C$4:$C$802,C340,$D$4:$D$802)/SUM($D$4:$D$802))</x:f>
        <x:v>0.6127923327826428</x:v>
      </x:c>
    </x:row>
    <x:row r="341">
      <x:c r="A341" s="101" t="str">
        <x:v>長野県</x:v>
      </x:c>
      <x:c r="B341" s="101" t="str">
        <x:v>P</x:v>
      </x:c>
      <x:c r="C341" s="101" t="str">
        <x:v>医療，福祉</x:v>
      </x:c>
      <x:c r="D341" s="102" t="n">
        <x:v>126732</x:v>
      </x:c>
      <x:c r="E341" s="102" t="n">
        <x:f>1+COUNTIFS($C$4:$C$802,C341,$D$4:$D$802,"&gt;"&amp;D341)</x:f>
        <x:v>19</x:v>
      </x:c>
      <x:c r="F341" s="102" t="n">
        <x:v>2048011</x:v>
      </x:c>
      <x:c r="G341" s="126" t="n">
        <x:f>D341/F341*10000</x:f>
        <x:v>618.8052700888813</x:v>
      </x:c>
      <x:c r="H341" s="127" t="n">
        <x:f>1+COUNTIFS($C$4:$C$802,C341,$G$4:$G$802,"&gt;"&amp;G341)</x:f>
        <x:v>31</x:v>
      </x:c>
      <x:c r="I341" s="128" t="n">
        <x:f>D341/SUMIF($C$4:$C$802,C341,$D$4:$D$802)</x:f>
        <x:v>0.015526319593825246</x:v>
      </x:c>
      <x:c r="J341" s="103" t="n">
        <x:f>(D341/SUMIF($A$4:$A$802,A341,$D$4:$D$802))/(SUMIF($C$4:$C$802,C341,$D$4:$D$802)/SUM($D$4:$D$802))</x:f>
        <x:v>0.9675780577278449</x:v>
      </x:c>
    </x:row>
    <x:row r="342">
      <x:c r="A342" s="101" t="str">
        <x:v>長野県</x:v>
      </x:c>
      <x:c r="B342" s="101" t="str">
        <x:v>Q</x:v>
      </x:c>
      <x:c r="C342" s="101" t="str">
        <x:v>複合サービス事業</x:v>
      </x:c>
      <x:c r="D342" s="102" t="n">
        <x:v>11844</x:v>
      </x:c>
      <x:c r="E342" s="102" t="n">
        <x:f>1+COUNTIFS($C$4:$C$802,C342,$D$4:$D$802,"&gt;"&amp;D342)</x:f>
        <x:v>12</x:v>
      </x:c>
      <x:c r="F342" s="102" t="n">
        <x:v>2048011</x:v>
      </x:c>
      <x:c r="G342" s="126" t="n">
        <x:f>D342/F342*10000</x:f>
        <x:v>57.83172063040677</x:v>
      </x:c>
      <x:c r="H342" s="127" t="n">
        <x:f>1+COUNTIFS($C$4:$C$802,C342,$G$4:$G$802,"&gt;"&amp;G342)</x:f>
        <x:v>5</x:v>
      </x:c>
      <x:c r="I342" s="128" t="n">
        <x:f>D342/SUMIF($C$4:$C$802,C342,$D$4:$D$802)</x:f>
        <x:v>0.02716700690414478</x:v>
      </x:c>
      <x:c r="J342" s="103" t="n">
        <x:f>(D342/SUMIF($A$4:$A$802,A342,$D$4:$D$802))/(SUMIF($C$4:$C$802,C342,$D$4:$D$802)/SUM($D$4:$D$802))</x:f>
        <x:v>1.6930090621762852</x:v>
      </x:c>
    </x:row>
    <x:row r="343">
      <x:c r="A343" s="101" t="str">
        <x:v>長野県</x:v>
      </x:c>
      <x:c r="B343" s="101" t="str">
        <x:v>R</x:v>
      </x:c>
      <x:c r="C343" s="101" t="str">
        <x:v>サービス業（他に分類されないもの）</x:v>
      </x:c>
      <x:c r="D343" s="102" t="n">
        <x:v>63284</x:v>
      </x:c>
      <x:c r="E343" s="102" t="n">
        <x:f>1+COUNTIFS($C$4:$C$802,C343,$D$4:$D$802,"&gt;"&amp;D343)</x:f>
        <x:v>21</x:v>
      </x:c>
      <x:c r="F343" s="102" t="n">
        <x:v>2048011</x:v>
      </x:c>
      <x:c r="G343" s="126" t="n">
        <x:f>D343/F343*10000</x:f>
        <x:v>309.0022465699647</x:v>
      </x:c>
      <x:c r="H343" s="127" t="n">
        <x:f>1+COUNTIFS($C$4:$C$802,C343,$G$4:$G$802,"&gt;"&amp;G343)</x:f>
        <x:v>35</x:v>
      </x:c>
      <x:c r="I343" s="128" t="n">
        <x:f>D343/SUMIF($C$4:$C$802,C343,$D$4:$D$802)</x:f>
        <x:v>0.012090165382931974</x:v>
      </x:c>
      <x:c r="J343" s="103" t="n">
        <x:f>(D343/SUMIF($A$4:$A$802,A343,$D$4:$D$802))/(SUMIF($C$4:$C$802,C343,$D$4:$D$802)/SUM($D$4:$D$802))</x:f>
        <x:v>0.7534418358538789</x:v>
      </x:c>
    </x:row>
    <x:row r="344">
      <x:c r="A344" s="101" t="str">
        <x:v>岐阜県</x:v>
      </x:c>
      <x:c r="B344" s="101" t="str">
        <x:v>AB</x:v>
      </x:c>
      <x:c r="C344" s="101" t="str">
        <x:v>農林漁業</x:v>
      </x:c>
      <x:c r="D344" s="102" t="n">
        <x:v>9560</x:v>
      </x:c>
      <x:c r="E344" s="102" t="n">
        <x:f>1+COUNTIFS($C$4:$C$802,C344,$D$4:$D$802,"&gt;"&amp;D344)</x:f>
        <x:v>20</x:v>
      </x:c>
      <x:c r="F344" s="102" t="n">
        <x:v>1978742</x:v>
      </x:c>
      <x:c r="G344" s="126" t="n">
        <x:f>D344/F344*10000</x:f>
        <x:v>48.31352445139387</x:v>
      </x:c>
      <x:c r="H344" s="127" t="n">
        <x:f>1+COUNTIFS($C$4:$C$802,C344,$G$4:$G$802,"&gt;"&amp;G344)</x:f>
        <x:v>28</x:v>
      </x:c>
      <x:c r="I344" s="128" t="n">
        <x:f>D344/SUMIF($C$4:$C$802,C344,$D$4:$D$802)</x:f>
        <x:v>0.021071053089796628</x:v>
      </x:c>
      <x:c r="J344" s="103" t="n">
        <x:f>(D344/SUMIF($A$4:$A$802,A344,$D$4:$D$802))/(SUMIF($C$4:$C$802,C344,$D$4:$D$802)/SUM($D$4:$D$802))</x:f>
        <x:v>1.3802546444189756</x:v>
      </x:c>
    </x:row>
    <x:row r="345">
      <x:c r="A345" s="101" t="str">
        <x:v>岐阜県</x:v>
      </x:c>
      <x:c r="B345" s="101" t="str">
        <x:v>C</x:v>
      </x:c>
      <x:c r="C345" s="101" t="str">
        <x:v>鉱業，採石業，砂利採取業</x:v>
      </x:c>
      <x:c r="D345" s="102" t="n">
        <x:v>591</x:v>
      </x:c>
      <x:c r="E345" s="102" t="n">
        <x:f>1+COUNTIFS($C$4:$C$802,C345,$D$4:$D$802,"&gt;"&amp;D345)</x:f>
        <x:v>9</x:v>
      </x:c>
      <x:c r="F345" s="102" t="n">
        <x:v>1978742</x:v>
      </x:c>
      <x:c r="G345" s="126" t="n">
        <x:f>D345/F345*10000</x:f>
        <x:v>2.9867461245579263</x:v>
      </x:c>
      <x:c r="H345" s="127" t="n">
        <x:f>1+COUNTIFS($C$4:$C$802,C345,$G$4:$G$802,"&gt;"&amp;G345)</x:f>
        <x:v>13</x:v>
      </x:c>
      <x:c r="I345" s="128" t="n">
        <x:f>D345/SUMIF($C$4:$C$802,C345,$D$4:$D$802)</x:f>
        <x:v>0.030004569223739657</x:v>
      </x:c>
      <x:c r="J345" s="103" t="n">
        <x:f>(D345/SUMIF($A$4:$A$802,A345,$D$4:$D$802))/(SUMIF($C$4:$C$802,C345,$D$4:$D$802)/SUM($D$4:$D$802))</x:f>
        <x:v>1.965442631099983</x:v>
      </x:c>
    </x:row>
    <x:row r="346">
      <x:c r="A346" s="101" t="str">
        <x:v>岐阜県</x:v>
      </x:c>
      <x:c r="B346" s="101" t="str">
        <x:v>D</x:v>
      </x:c>
      <x:c r="C346" s="101" t="str">
        <x:v>建設業</x:v>
      </x:c>
      <x:c r="D346" s="102" t="n">
        <x:v>60279</x:v>
      </x:c>
      <x:c r="E346" s="102" t="n">
        <x:f>1+COUNTIFS($C$4:$C$802,C346,$D$4:$D$802,"&gt;"&amp;D346)</x:f>
        <x:v>17</x:v>
      </x:c>
      <x:c r="F346" s="102" t="n">
        <x:v>1978742</x:v>
      </x:c>
      <x:c r="G346" s="126" t="n">
        <x:f>D346/F346*10000</x:f>
        <x:v>304.6329435570681</x:v>
      </x:c>
      <x:c r="H346" s="127" t="n">
        <x:f>1+COUNTIFS($C$4:$C$802,C346,$G$4:$G$802,"&gt;"&amp;G346)</x:f>
        <x:v>30</x:v>
      </x:c>
      <x:c r="I346" s="128" t="n">
        <x:f>D346/SUMIF($C$4:$C$802,C346,$D$4:$D$802)</x:f>
        <x:v>0.016128527337745474</x:v>
      </x:c>
      <x:c r="J346" s="103" t="n">
        <x:f>(D346/SUMIF($A$4:$A$802,A346,$D$4:$D$802))/(SUMIF($C$4:$C$802,C346,$D$4:$D$802)/SUM($D$4:$D$802))</x:f>
        <x:v>1.0564955947238073</x:v>
      </x:c>
    </x:row>
    <x:row r="347">
      <x:c r="A347" s="101" t="str">
        <x:v>岐阜県</x:v>
      </x:c>
      <x:c r="B347" s="101" t="str">
        <x:v>E</x:v>
      </x:c>
      <x:c r="C347" s="101" t="str">
        <x:v>製造業</x:v>
      </x:c>
      <x:c r="D347" s="102" t="n">
        <x:v>219331</x:v>
      </x:c>
      <x:c r="E347" s="102" t="n">
        <x:f>1+COUNTIFS($C$4:$C$802,C347,$D$4:$D$802,"&gt;"&amp;D347)</x:f>
        <x:v>13</x:v>
      </x:c>
      <x:c r="F347" s="102" t="n">
        <x:v>1978742</x:v>
      </x:c>
      <x:c r="G347" s="126" t="n">
        <x:f>D347/F347*10000</x:f>
        <x:v>1108.4365723272665</x:v>
      </x:c>
      <x:c r="H347" s="127" t="n">
        <x:f>1+COUNTIFS($C$4:$C$802,C347,$G$4:$G$802,"&gt;"&amp;G347)</x:f>
        <x:v>7</x:v>
      </x:c>
      <x:c r="I347" s="128" t="n">
        <x:f>D347/SUMIF($C$4:$C$802,C347,$D$4:$D$802)</x:f>
        <x:v>0.02491366358222386</x:v>
      </x:c>
      <x:c r="J347" s="103" t="n">
        <x:f>(D347/SUMIF($A$4:$A$802,A347,$D$4:$D$802))/(SUMIF($C$4:$C$802,C347,$D$4:$D$802)/SUM($D$4:$D$802))</x:f>
        <x:v>1.6319639897593874</x:v>
      </x:c>
    </x:row>
    <x:row r="348">
      <x:c r="A348" s="101" t="str">
        <x:v>岐阜県</x:v>
      </x:c>
      <x:c r="B348" s="101" t="str">
        <x:v>F</x:v>
      </x:c>
      <x:c r="C348" s="101" t="str">
        <x:v>電気・ガス・熱供給・水道業</x:v>
      </x:c>
      <x:c r="D348" s="102" t="n">
        <x:v>2724</x:v>
      </x:c>
      <x:c r="E348" s="102" t="n">
        <x:f>1+COUNTIFS($C$4:$C$802,C348,$D$4:$D$802,"&gt;"&amp;D348)</x:f>
        <x:v>22</x:v>
      </x:c>
      <x:c r="F348" s="102" t="n">
        <x:v>1978742</x:v>
      </x:c>
      <x:c r="G348" s="126" t="n">
        <x:f>D348/F348*10000</x:f>
        <x:v>13.766322239079171</x:v>
      </x:c>
      <x:c r="H348" s="127" t="n">
        <x:f>1+COUNTIFS($C$4:$C$802,C348,$G$4:$G$802,"&gt;"&amp;G348)</x:f>
        <x:v>31</x:v>
      </x:c>
      <x:c r="I348" s="128" t="n">
        <x:f>D348/SUMIF($C$4:$C$802,C348,$D$4:$D$802)</x:f>
        <x:v>0.013475208880578187</x:v>
      </x:c>
      <x:c r="J348" s="103" t="n">
        <x:f>(D348/SUMIF($A$4:$A$802,A348,$D$4:$D$802))/(SUMIF($C$4:$C$802,C348,$D$4:$D$802)/SUM($D$4:$D$802))</x:f>
        <x:v>0.8826905595402011</x:v>
      </x:c>
    </x:row>
    <x:row r="349">
      <x:c r="A349" s="101" t="str">
        <x:v>岐阜県</x:v>
      </x:c>
      <x:c r="B349" s="101" t="str">
        <x:v>G</x:v>
      </x:c>
      <x:c r="C349" s="101" t="str">
        <x:v>情報通信業</x:v>
      </x:c>
      <x:c r="D349" s="102" t="n">
        <x:v>6612</x:v>
      </x:c>
      <x:c r="E349" s="102" t="n">
        <x:f>1+COUNTIFS($C$4:$C$802,C349,$D$4:$D$802,"&gt;"&amp;D349)</x:f>
        <x:v>26</x:v>
      </x:c>
      <x:c r="F349" s="102" t="n">
        <x:v>1978742</x:v>
      </x:c>
      <x:c r="G349" s="126" t="n">
        <x:f>D349/F349*10000</x:f>
        <x:v>33.415169840231826</x:v>
      </x:c>
      <x:c r="H349" s="127" t="n">
        <x:f>1+COUNTIFS($C$4:$C$802,C349,$G$4:$G$802,"&gt;"&amp;G349)</x:f>
        <x:v>43</x:v>
      </x:c>
      <x:c r="I349" s="128" t="n">
        <x:f>D349/SUMIF($C$4:$C$802,C349,$D$4:$D$802)</x:f>
        <x:v>0.003327899240955105</x:v>
      </x:c>
      <x:c r="J349" s="103" t="n">
        <x:f>(D349/SUMIF($A$4:$A$802,A349,$D$4:$D$802))/(SUMIF($C$4:$C$802,C349,$D$4:$D$802)/SUM($D$4:$D$802))</x:f>
        <x:v>0.21799329933400124</x:v>
      </x:c>
    </x:row>
    <x:row r="350">
      <x:c r="A350" s="101" t="str">
        <x:v>岐阜県</x:v>
      </x:c>
      <x:c r="B350" s="101" t="str">
        <x:v>H</x:v>
      </x:c>
      <x:c r="C350" s="101" t="str">
        <x:v>運輸業，郵便業</x:v>
      </x:c>
      <x:c r="D350" s="102" t="n">
        <x:v>40028</x:v>
      </x:c>
      <x:c r="E350" s="102" t="n">
        <x:f>1+COUNTIFS($C$4:$C$802,C350,$D$4:$D$802,"&gt;"&amp;D350)</x:f>
        <x:v>22</x:v>
      </x:c>
      <x:c r="F350" s="102" t="n">
        <x:v>1978742</x:v>
      </x:c>
      <x:c r="G350" s="126" t="n">
        <x:f>D350/F350*10000</x:f>
        <x:v>202.29014191845124</x:v>
      </x:c>
      <x:c r="H350" s="127" t="n">
        <x:f>1+COUNTIFS($C$4:$C$802,C350,$G$4:$G$802,"&gt;"&amp;G350)</x:f>
        <x:v>36</x:v>
      </x:c>
      <x:c r="I350" s="128" t="n">
        <x:f>D350/SUMIF($C$4:$C$802,C350,$D$4:$D$802)</x:f>
        <x:v>0.012260723231969282</x:v>
      </x:c>
      <x:c r="J350" s="103" t="n">
        <x:f>(D350/SUMIF($A$4:$A$802,A350,$D$4:$D$802))/(SUMIF($C$4:$C$802,C350,$D$4:$D$802)/SUM($D$4:$D$802))</x:f>
        <x:v>0.8031359473464538</x:v>
      </x:c>
    </x:row>
    <x:row r="351">
      <x:c r="A351" s="101" t="str">
        <x:v>岐阜県</x:v>
      </x:c>
      <x:c r="B351" s="101" t="str">
        <x:v>I</x:v>
      </x:c>
      <x:c r="C351" s="101" t="str">
        <x:v>卸売業，小売業</x:v>
      </x:c>
      <x:c r="D351" s="102" t="n">
        <x:v>169131</x:v>
      </x:c>
      <x:c r="E351" s="102" t="n">
        <x:f>1+COUNTIFS($C$4:$C$802,C351,$D$4:$D$802,"&gt;"&amp;D351)</x:f>
        <x:v>17</x:v>
      </x:c>
      <x:c r="F351" s="102" t="n">
        <x:v>1978742</x:v>
      </x:c>
      <x:c r="G351" s="126" t="n">
        <x:f>D351/F351*10000</x:f>
        <x:v>854.7400317979807</x:v>
      </x:c>
      <x:c r="H351" s="127" t="n">
        <x:f>1+COUNTIFS($C$4:$C$802,C351,$G$4:$G$802,"&gt;"&amp;G351)</x:f>
        <x:v>23</x:v>
      </x:c>
      <x:c r="I351" s="128" t="n">
        <x:f>D351/SUMIF($C$4:$C$802,C351,$D$4:$D$802)</x:f>
        <x:v>0.014565286510659215</x:v>
      </x:c>
      <x:c r="J351" s="103" t="n">
        <x:f>(D351/SUMIF($A$4:$A$802,A351,$D$4:$D$802))/(SUMIF($C$4:$C$802,C351,$D$4:$D$802)/SUM($D$4:$D$802))</x:f>
        <x:v>0.9540958521605848</x:v>
      </x:c>
    </x:row>
    <x:row r="352">
      <x:c r="A352" s="101" t="str">
        <x:v>岐阜県</x:v>
      </x:c>
      <x:c r="B352" s="101" t="str">
        <x:v>J</x:v>
      </x:c>
      <x:c r="C352" s="101" t="str">
        <x:v>金融業，保険業</x:v>
      </x:c>
      <x:c r="D352" s="102" t="n">
        <x:v>20295</x:v>
      </x:c>
      <x:c r="E352" s="102" t="n">
        <x:f>1+COUNTIFS($C$4:$C$802,C352,$D$4:$D$802,"&gt;"&amp;D352)</x:f>
        <x:v>16</x:v>
      </x:c>
      <x:c r="F352" s="102" t="n">
        <x:v>1978742</x:v>
      </x:c>
      <x:c r="G352" s="126" t="n">
        <x:f>D352/F352*10000</x:f>
        <x:v>102.56516514027598</x:v>
      </x:c>
      <x:c r="H352" s="127" t="n">
        <x:f>1+COUNTIFS($C$4:$C$802,C352,$G$4:$G$802,"&gt;"&amp;G352)</x:f>
        <x:v>19</x:v>
      </x:c>
      <x:c r="I352" s="128" t="n">
        <x:f>D352/SUMIF($C$4:$C$802,C352,$D$4:$D$802)</x:f>
        <x:v>0.013580374134456076</x:v>
      </x:c>
      <x:c r="J352" s="103" t="n">
        <x:f>(D352/SUMIF($A$4:$A$802,A352,$D$4:$D$802))/(SUMIF($C$4:$C$802,C352,$D$4:$D$802)/SUM($D$4:$D$802))</x:f>
        <x:v>0.8895793860966082</x:v>
      </x:c>
    </x:row>
    <x:row r="353">
      <x:c r="A353" s="101" t="str">
        <x:v>岐阜県</x:v>
      </x:c>
      <x:c r="B353" s="101" t="str">
        <x:v>K</x:v>
      </x:c>
      <x:c r="C353" s="101" t="str">
        <x:v>不動産業，物品賃貸業</x:v>
      </x:c>
      <x:c r="D353" s="102" t="n">
        <x:v>15596</x:v>
      </x:c>
      <x:c r="E353" s="102" t="n">
        <x:f>1+COUNTIFS($C$4:$C$802,C353,$D$4:$D$802,"&gt;"&amp;D353)</x:f>
        <x:v>23</x:v>
      </x:c>
      <x:c r="F353" s="102" t="n">
        <x:v>1978742</x:v>
      </x:c>
      <x:c r="G353" s="126" t="n">
        <x:f>D353/F353*10000</x:f>
        <x:v>78.81775390626974</x:v>
      </x:c>
      <x:c r="H353" s="127" t="n">
        <x:f>1+COUNTIFS($C$4:$C$802,C353,$G$4:$G$802,"&gt;"&amp;G353)</x:f>
        <x:v>37</x:v>
      </x:c>
      <x:c r="I353" s="128" t="n">
        <x:f>D353/SUMIF($C$4:$C$802,C353,$D$4:$D$802)</x:f>
        <x:v>0.009638238518593594</x:v>
      </x:c>
      <x:c r="J353" s="103" t="n">
        <x:f>(D353/SUMIF($A$4:$A$802,A353,$D$4:$D$802))/(SUMIF($C$4:$C$802,C353,$D$4:$D$802)/SUM($D$4:$D$802))</x:f>
        <x:v>0.6313506696895268</x:v>
      </x:c>
    </x:row>
    <x:row r="354">
      <x:c r="A354" s="101" t="str">
        <x:v>岐阜県</x:v>
      </x:c>
      <x:c r="B354" s="101" t="str">
        <x:v>L</x:v>
      </x:c>
      <x:c r="C354" s="101" t="str">
        <x:v>学術研究，専門・技術サービス業</x:v>
      </x:c>
      <x:c r="D354" s="102" t="n">
        <x:v>20078</x:v>
      </x:c>
      <x:c r="E354" s="102" t="n">
        <x:f>1+COUNTIFS($C$4:$C$802,C354,$D$4:$D$802,"&gt;"&amp;D354)</x:f>
        <x:v>21</x:v>
      </x:c>
      <x:c r="F354" s="102" t="n">
        <x:v>1978742</x:v>
      </x:c>
      <x:c r="G354" s="126" t="n">
        <x:f>D354/F354*10000</x:f>
        <x:v>101.46850877982071</x:v>
      </x:c>
      <x:c r="H354" s="127" t="n">
        <x:f>1+COUNTIFS($C$4:$C$802,C354,$G$4:$G$802,"&gt;"&amp;G354)</x:f>
        <x:v>30</x:v>
      </x:c>
      <x:c r="I354" s="128" t="n">
        <x:f>D354/SUMIF($C$4:$C$802,C354,$D$4:$D$802)</x:f>
        <x:v>0.009475581900213316</x:v>
      </x:c>
      <x:c r="J354" s="103" t="n">
        <x:f>(D354/SUMIF($A$4:$A$802,A354,$D$4:$D$802))/(SUMIF($C$4:$C$802,C354,$D$4:$D$802)/SUM($D$4:$D$802))</x:f>
        <x:v>0.6206958840929979</x:v>
      </x:c>
    </x:row>
    <x:row r="355">
      <x:c r="A355" s="101" t="str">
        <x:v>岐阜県</x:v>
      </x:c>
      <x:c r="B355" s="101" t="str">
        <x:v>M</x:v>
      </x:c>
      <x:c r="C355" s="101" t="str">
        <x:v>宿泊業，飲食サービス業</x:v>
      </x:c>
      <x:c r="D355" s="102" t="n">
        <x:v>72424</x:v>
      </x:c>
      <x:c r="E355" s="102" t="n">
        <x:f>1+COUNTIFS($C$4:$C$802,C355,$D$4:$D$802,"&gt;"&amp;D355)</x:f>
        <x:v>17</x:v>
      </x:c>
      <x:c r="F355" s="102" t="n">
        <x:v>1978742</x:v>
      </x:c>
      <x:c r="G355" s="126" t="n">
        <x:f>D355/F355*10000</x:f>
        <x:v>366.0103237309361</x:v>
      </x:c>
      <x:c r="H355" s="127" t="n">
        <x:f>1+COUNTIFS($C$4:$C$802,C355,$G$4:$G$802,"&gt;"&amp;G355)</x:f>
        <x:v>14</x:v>
      </x:c>
      <x:c r="I355" s="128" t="n">
        <x:f>D355/SUMIF($C$4:$C$802,C355,$D$4:$D$802)</x:f>
        <x:v>0.015479384509373145</x:v>
      </x:c>
      <x:c r="J355" s="103" t="n">
        <x:f>(D355/SUMIF($A$4:$A$802,A355,$D$4:$D$802))/(SUMIF($C$4:$C$802,C355,$D$4:$D$802)/SUM($D$4:$D$802))</x:f>
        <x:v>1.013973638183057</x:v>
      </x:c>
    </x:row>
    <x:row r="356">
      <x:c r="A356" s="101" t="str">
        <x:v>岐阜県</x:v>
      </x:c>
      <x:c r="B356" s="101" t="str">
        <x:v>N</x:v>
      </x:c>
      <x:c r="C356" s="101" t="str">
        <x:v>生活関連サービス業，娯楽業</x:v>
      </x:c>
      <x:c r="D356" s="102" t="n">
        <x:v>35466</x:v>
      </x:c>
      <x:c r="E356" s="102" t="n">
        <x:f>1+COUNTIFS($C$4:$C$802,C356,$D$4:$D$802,"&gt;"&amp;D356)</x:f>
        <x:v>17</x:v>
      </x:c>
      <x:c r="F356" s="102" t="n">
        <x:v>1978742</x:v>
      </x:c>
      <x:c r="G356" s="126" t="n">
        <x:f>D356/F356*10000</x:f>
        <x:v>179.23508976915636</x:v>
      </x:c>
      <x:c r="H356" s="127" t="n">
        <x:f>1+COUNTIFS($C$4:$C$802,C356,$G$4:$G$802,"&gt;"&amp;G356)</x:f>
        <x:v>6</x:v>
      </x:c>
      <x:c r="I356" s="128" t="n">
        <x:f>D356/SUMIF($C$4:$C$802,C356,$D$4:$D$802)</x:f>
        <x:v>0.016297672161566884</x:v>
      </x:c>
      <x:c r="J356" s="103" t="n">
        <x:f>(D356/SUMIF($A$4:$A$802,A356,$D$4:$D$802))/(SUMIF($C$4:$C$802,C356,$D$4:$D$802)/SUM($D$4:$D$802))</x:f>
        <x:v>1.067575388774157</x:v>
      </x:c>
    </x:row>
    <x:row r="357">
      <x:c r="A357" s="101" t="str">
        <x:v>岐阜県</x:v>
      </x:c>
      <x:c r="B357" s="101" t="str">
        <x:v>O</x:v>
      </x:c>
      <x:c r="C357" s="101" t="str">
        <x:v>教育，学習支援業</x:v>
      </x:c>
      <x:c r="D357" s="102" t="n">
        <x:v>23607</x:v>
      </x:c>
      <x:c r="E357" s="102" t="n">
        <x:f>1+COUNTIFS($C$4:$C$802,C357,$D$4:$D$802,"&gt;"&amp;D357)</x:f>
        <x:v>19</x:v>
      </x:c>
      <x:c r="F357" s="102" t="n">
        <x:v>1978742</x:v>
      </x:c>
      <x:c r="G357" s="126" t="n">
        <x:f>D357/F357*10000</x:f>
        <x:v>119.30307235607269</x:v>
      </x:c>
      <x:c r="H357" s="127" t="n">
        <x:f>1+COUNTIFS($C$4:$C$802,C357,$G$4:$G$802,"&gt;"&amp;G357)</x:f>
        <x:v>35</x:v>
      </x:c>
      <x:c r="I357" s="128" t="n">
        <x:f>D357/SUMIF($C$4:$C$802,C357,$D$4:$D$802)</x:f>
        <x:v>0.012101598680291623</x:v>
      </x:c>
      <x:c r="J357" s="103" t="n">
        <x:f>(D357/SUMIF($A$4:$A$802,A357,$D$4:$D$802))/(SUMIF($C$4:$C$802,C357,$D$4:$D$802)/SUM($D$4:$D$802))</x:f>
        <x:v>0.7927125289934085</x:v>
      </x:c>
    </x:row>
    <x:row r="358">
      <x:c r="A358" s="101" t="str">
        <x:v>岐阜県</x:v>
      </x:c>
      <x:c r="B358" s="101" t="str">
        <x:v>P</x:v>
      </x:c>
      <x:c r="C358" s="101" t="str">
        <x:v>医療，福祉</x:v>
      </x:c>
      <x:c r="D358" s="102" t="n">
        <x:v>117310</x:v>
      </x:c>
      <x:c r="E358" s="102" t="n">
        <x:f>1+COUNTIFS($C$4:$C$802,C358,$D$4:$D$802,"&gt;"&amp;D358)</x:f>
        <x:v>21</x:v>
      </x:c>
      <x:c r="F358" s="102" t="n">
        <x:v>1978742</x:v>
      </x:c>
      <x:c r="G358" s="126" t="n">
        <x:f>D358/F358*10000</x:f>
        <x:v>592.8514177189346</x:v>
      </x:c>
      <x:c r="H358" s="127" t="n">
        <x:f>1+COUNTIFS($C$4:$C$802,C358,$G$4:$G$802,"&gt;"&amp;G358)</x:f>
        <x:v>37</x:v>
      </x:c>
      <x:c r="I358" s="128" t="n">
        <x:f>D358/SUMIF($C$4:$C$802,C358,$D$4:$D$802)</x:f>
        <x:v>0.014372001953347533</x:v>
      </x:c>
      <x:c r="J358" s="103" t="n">
        <x:f>(D358/SUMIF($A$4:$A$802,A358,$D$4:$D$802))/(SUMIF($C$4:$C$802,C358,$D$4:$D$802)/SUM($D$4:$D$802))</x:f>
        <x:v>0.9414347902389528</x:v>
      </x:c>
    </x:row>
    <x:row r="359">
      <x:c r="A359" s="101" t="str">
        <x:v>岐阜県</x:v>
      </x:c>
      <x:c r="B359" s="101" t="str">
        <x:v>Q</x:v>
      </x:c>
      <x:c r="C359" s="101" t="str">
        <x:v>複合サービス事業</x:v>
      </x:c>
      <x:c r="D359" s="102" t="n">
        <x:v>8035</x:v>
      </x:c>
      <x:c r="E359" s="102" t="n">
        <x:f>1+COUNTIFS($C$4:$C$802,C359,$D$4:$D$802,"&gt;"&amp;D359)</x:f>
        <x:v>19</x:v>
      </x:c>
      <x:c r="F359" s="102" t="n">
        <x:v>1978742</x:v>
      </x:c>
      <x:c r="G359" s="126" t="n">
        <x:f>D359/F359*10000</x:f>
        <x:v>40.60660763252612</x:v>
      </x:c>
      <x:c r="H359" s="127" t="n">
        <x:f>1+COUNTIFS($C$4:$C$802,C359,$G$4:$G$802,"&gt;"&amp;G359)</x:f>
        <x:v>29</x:v>
      </x:c>
      <x:c r="I359" s="128" t="n">
        <x:f>D359/SUMIF($C$4:$C$802,C359,$D$4:$D$802)</x:f>
        <x:v>0.018430167213340367</x:v>
      </x:c>
      <x:c r="J359" s="103" t="n">
        <x:f>(D359/SUMIF($A$4:$A$802,A359,$D$4:$D$802))/(SUMIF($C$4:$C$802,C359,$D$4:$D$802)/SUM($D$4:$D$802))</x:f>
        <x:v>1.2072640026686439</x:v>
      </x:c>
    </x:row>
    <x:row r="360">
      <x:c r="A360" s="101" t="str">
        <x:v>岐阜県</x:v>
      </x:c>
      <x:c r="B360" s="101" t="str">
        <x:v>R</x:v>
      </x:c>
      <x:c r="C360" s="101" t="str">
        <x:v>サービス業（他に分類されないもの）</x:v>
      </x:c>
      <x:c r="D360" s="102" t="n">
        <x:v>63600</x:v>
      </x:c>
      <x:c r="E360" s="102" t="n">
        <x:f>1+COUNTIFS($C$4:$C$802,C360,$D$4:$D$802,"&gt;"&amp;D360)</x:f>
        <x:v>20</x:v>
      </x:c>
      <x:c r="F360" s="102" t="n">
        <x:v>1978742</x:v>
      </x:c>
      <x:c r="G360" s="126" t="n">
        <x:f>D360/F360*10000</x:f>
        <x:v>321.41633421638596</x:v>
      </x:c>
      <x:c r="H360" s="127" t="n">
        <x:f>1+COUNTIFS($C$4:$C$802,C360,$G$4:$G$802,"&gt;"&amp;G360)</x:f>
        <x:v>31</x:v>
      </x:c>
      <x:c r="I360" s="128" t="n">
        <x:f>D360/SUMIF($C$4:$C$802,C360,$D$4:$D$802)</x:f>
        <x:v>0.01215053597045815</x:v>
      </x:c>
      <x:c r="J360" s="103" t="n">
        <x:f>(D360/SUMIF($A$4:$A$802,A360,$D$4:$D$802))/(SUMIF($C$4:$C$802,C360,$D$4:$D$802)/SUM($D$4:$D$802))</x:f>
        <x:v>0.7959181552974082</x:v>
      </x:c>
    </x:row>
    <x:row r="361">
      <x:c r="A361" s="101" t="str">
        <x:v>静岡県</x:v>
      </x:c>
      <x:c r="B361" s="101" t="str">
        <x:v>AB</x:v>
      </x:c>
      <x:c r="C361" s="101" t="str">
        <x:v>農林漁業</x:v>
      </x:c>
      <x:c r="D361" s="102" t="n">
        <x:v>10986</x:v>
      </x:c>
      <x:c r="E361" s="102" t="n">
        <x:f>1+COUNTIFS($C$4:$C$802,C361,$D$4:$D$802,"&gt;"&amp;D361)</x:f>
        <x:v>16</x:v>
      </x:c>
      <x:c r="F361" s="102" t="n">
        <x:v>3633202</x:v>
      </x:c>
      <x:c r="G361" s="126" t="n">
        <x:f>D361/F361*10000</x:f>
        <x:v>30.237790246730018</x:v>
      </x:c>
      <x:c r="H361" s="127" t="n">
        <x:f>1+COUNTIFS($C$4:$C$802,C361,$G$4:$G$802,"&gt;"&amp;G361)</x:f>
        <x:v>36</x:v>
      </x:c>
      <x:c r="I361" s="128" t="n">
        <x:f>D361/SUMIF($C$4:$C$802,C361,$D$4:$D$802)</x:f>
        <x:v>0.024214078372856253</x:v>
      </x:c>
      <x:c r="J361" s="103" t="n">
        <x:f>(D361/SUMIF($A$4:$A$802,A361,$D$4:$D$802))/(SUMIF($C$4:$C$802,C361,$D$4:$D$802)/SUM($D$4:$D$802))</x:f>
        <x:v>0.8106529537222852</x:v>
      </x:c>
    </x:row>
    <x:row r="362">
      <x:c r="A362" s="101" t="str">
        <x:v>静岡県</x:v>
      </x:c>
      <x:c r="B362" s="101" t="str">
        <x:v>C</x:v>
      </x:c>
      <x:c r="C362" s="101" t="str">
        <x:v>鉱業，採石業，砂利採取業</x:v>
      </x:c>
      <x:c r="D362" s="102" t="n">
        <x:v>431</x:v>
      </x:c>
      <x:c r="E362" s="102" t="n">
        <x:f>1+COUNTIFS($C$4:$C$802,C362,$D$4:$D$802,"&gt;"&amp;D362)</x:f>
        <x:v>16</x:v>
      </x:c>
      <x:c r="F362" s="102" t="n">
        <x:v>3633202</x:v>
      </x:c>
      <x:c r="G362" s="126" t="n">
        <x:f>D362/F362*10000</x:f>
        <x:v>1.1862814123739887</x:v>
      </x:c>
      <x:c r="H362" s="127" t="n">
        <x:f>1+COUNTIFS($C$4:$C$802,C362,$G$4:$G$802,"&gt;"&amp;G362)</x:f>
        <x:v>33</x:v>
      </x:c>
      <x:c r="I362" s="128" t="n">
        <x:f>D362/SUMIF($C$4:$C$802,C362,$D$4:$D$802)</x:f>
        <x:v>0.021881504797684928</x:v>
      </x:c>
      <x:c r="J362" s="103" t="n">
        <x:f>(D362/SUMIF($A$4:$A$802,A362,$D$4:$D$802))/(SUMIF($C$4:$C$802,C362,$D$4:$D$802)/SUM($D$4:$D$802))</x:f>
        <x:v>0.7325617032782098</x:v>
      </x:c>
    </x:row>
    <x:row r="363">
      <x:c r="A363" s="101" t="str">
        <x:v>静岡県</x:v>
      </x:c>
      <x:c r="B363" s="101" t="str">
        <x:v>D</x:v>
      </x:c>
      <x:c r="C363" s="101" t="str">
        <x:v>建設業</x:v>
      </x:c>
      <x:c r="D363" s="102" t="n">
        <x:v>102701</x:v>
      </x:c>
      <x:c r="E363" s="102" t="n">
        <x:f>1+COUNTIFS($C$4:$C$802,C363,$D$4:$D$802,"&gt;"&amp;D363)</x:f>
        <x:v>10</x:v>
      </x:c>
      <x:c r="F363" s="102" t="n">
        <x:v>3633202</x:v>
      </x:c>
      <x:c r="G363" s="126" t="n">
        <x:f>D363/F363*10000</x:f>
        <x:v>282.67352049239213</x:v>
      </x:c>
      <x:c r="H363" s="127" t="n">
        <x:f>1+COUNTIFS($C$4:$C$802,C363,$G$4:$G$802,"&gt;"&amp;G363)</x:f>
        <x:v>37</x:v>
      </x:c>
      <x:c r="I363" s="128" t="n">
        <x:f>D363/SUMIF($C$4:$C$802,C363,$D$4:$D$802)</x:f>
        <x:v>0.027479153372049932</x:v>
      </x:c>
      <x:c r="J363" s="103" t="n">
        <x:f>(D363/SUMIF($A$4:$A$802,A363,$D$4:$D$802))/(SUMIF($C$4:$C$802,C363,$D$4:$D$802)/SUM($D$4:$D$802))</x:f>
        <x:v>0.9199630274514686</x:v>
      </x:c>
    </x:row>
    <x:row r="364">
      <x:c r="A364" s="101" t="str">
        <x:v>静岡県</x:v>
      </x:c>
      <x:c r="B364" s="101" t="str">
        <x:v>E</x:v>
      </x:c>
      <x:c r="C364" s="101" t="str">
        <x:v>製造業</x:v>
      </x:c>
      <x:c r="D364" s="102" t="n">
        <x:v>441001</x:v>
      </x:c>
      <x:c r="E364" s="102" t="n">
        <x:f>1+COUNTIFS($C$4:$C$802,C364,$D$4:$D$802,"&gt;"&amp;D364)</x:f>
        <x:v>5</x:v>
      </x:c>
      <x:c r="F364" s="102" t="n">
        <x:v>3633202</x:v>
      </x:c>
      <x:c r="G364" s="126" t="n">
        <x:f>D364/F364*10000</x:f>
        <x:v>1213.8080954485877</x:v>
      </x:c>
      <x:c r="H364" s="127" t="n">
        <x:f>1+COUNTIFS($C$4:$C$802,C364,$G$4:$G$802,"&gt;"&amp;G364)</x:f>
        <x:v>2</x:v>
      </x:c>
      <x:c r="I364" s="128" t="n">
        <x:f>D364/SUMIF($C$4:$C$802,C364,$D$4:$D$802)</x:f>
        <x:v>0.05009301263124822</x:v>
      </x:c>
      <x:c r="J364" s="103" t="n">
        <x:f>(D364/SUMIF($A$4:$A$802,A364,$D$4:$D$802))/(SUMIF($C$4:$C$802,C364,$D$4:$D$802)/SUM($D$4:$D$802))</x:f>
        <x:v>1.6770429179699997</x:v>
      </x:c>
    </x:row>
    <x:row r="365">
      <x:c r="A365" s="101" t="str">
        <x:v>静岡県</x:v>
      </x:c>
      <x:c r="B365" s="101" t="str">
        <x:v>F</x:v>
      </x:c>
      <x:c r="C365" s="101" t="str">
        <x:v>電気・ガス・熱供給・水道業</x:v>
      </x:c>
      <x:c r="D365" s="102" t="n">
        <x:v>5572</x:v>
      </x:c>
      <x:c r="E365" s="102" t="n">
        <x:f>1+COUNTIFS($C$4:$C$802,C365,$D$4:$D$802,"&gt;"&amp;D365)</x:f>
        <x:v>8</x:v>
      </x:c>
      <x:c r="F365" s="102" t="n">
        <x:v>3633202</x:v>
      </x:c>
      <x:c r="G365" s="126" t="n">
        <x:f>D365/F365*10000</x:f>
        <x:v>15.336334175749107</x:v>
      </x:c>
      <x:c r="H365" s="127" t="n">
        <x:f>1+COUNTIFS($C$4:$C$802,C365,$G$4:$G$802,"&gt;"&amp;G365)</x:f>
        <x:v>22</x:v>
      </x:c>
      <x:c r="I365" s="128" t="n">
        <x:f>D365/SUMIF($C$4:$C$802,C365,$D$4:$D$802)</x:f>
        <x:v>0.0275638266822987</x:v>
      </x:c>
      <x:c r="J365" s="103" t="n">
        <x:f>(D365/SUMIF($A$4:$A$802,A365,$D$4:$D$802))/(SUMIF($C$4:$C$802,C365,$D$4:$D$802)/SUM($D$4:$D$802))</x:f>
        <x:v>0.9227977696207825</x:v>
      </x:c>
    </x:row>
    <x:row r="366">
      <x:c r="A366" s="101" t="str">
        <x:v>静岡県</x:v>
      </x:c>
      <x:c r="B366" s="101" t="str">
        <x:v>G</x:v>
      </x:c>
      <x:c r="C366" s="101" t="str">
        <x:v>情報通信業</x:v>
      </x:c>
      <x:c r="D366" s="102" t="n">
        <x:v>20605</x:v>
      </x:c>
      <x:c r="E366" s="102" t="n">
        <x:f>1+COUNTIFS($C$4:$C$802,C366,$D$4:$D$802,"&gt;"&amp;D366)</x:f>
        <x:v>12</x:v>
      </x:c>
      <x:c r="F366" s="102" t="n">
        <x:v>3633202</x:v>
      </x:c>
      <x:c r="G366" s="126" t="n">
        <x:f>D366/F366*10000</x:f>
        <x:v>56.71305916929474</x:v>
      </x:c>
      <x:c r="H366" s="127" t="n">
        <x:f>1+COUNTIFS($C$4:$C$802,C366,$G$4:$G$802,"&gt;"&amp;G366)</x:f>
        <x:v>21</x:v>
      </x:c>
      <x:c r="I366" s="128" t="n">
        <x:f>D366/SUMIF($C$4:$C$802,C366,$D$4:$D$802)</x:f>
        <x:v>0.01037074468540229</x:v>
      </x:c>
      <x:c r="J366" s="103" t="n">
        <x:f>(D366/SUMIF($A$4:$A$802,A366,$D$4:$D$802))/(SUMIF($C$4:$C$802,C366,$D$4:$D$802)/SUM($D$4:$D$802))</x:f>
        <x:v>0.3471978029502583</x:v>
      </x:c>
    </x:row>
    <x:row r="367">
      <x:c r="A367" s="101" t="str">
        <x:v>静岡県</x:v>
      </x:c>
      <x:c r="B367" s="101" t="str">
        <x:v>H</x:v>
      </x:c>
      <x:c r="C367" s="101" t="str">
        <x:v>運輸業，郵便業</x:v>
      </x:c>
      <x:c r="D367" s="102" t="n">
        <x:v>96274</x:v>
      </x:c>
      <x:c r="E367" s="102" t="n">
        <x:f>1+COUNTIFS($C$4:$C$802,C367,$D$4:$D$802,"&gt;"&amp;D367)</x:f>
        <x:v>10</x:v>
      </x:c>
      <x:c r="F367" s="102" t="n">
        <x:v>3633202</x:v>
      </x:c>
      <x:c r="G367" s="126" t="n">
        <x:f>D367/F367*10000</x:f>
        <x:v>264.9838902433721</x:v>
      </x:c>
      <x:c r="H367" s="127" t="n">
        <x:f>1+COUNTIFS($C$4:$C$802,C367,$G$4:$G$802,"&gt;"&amp;G367)</x:f>
        <x:v>12</x:v>
      </x:c>
      <x:c r="I367" s="128" t="n">
        <x:f>D367/SUMIF($C$4:$C$802,C367,$D$4:$D$802)</x:f>
        <x:v>0.029489079355316545</x:v>
      </x:c>
      <x:c r="J367" s="103" t="n">
        <x:f>(D367/SUMIF($A$4:$A$802,A367,$D$4:$D$802))/(SUMIF($C$4:$C$802,C367,$D$4:$D$802)/SUM($D$4:$D$802))</x:f>
        <x:v>0.987252494760897</x:v>
      </x:c>
    </x:row>
    <x:row r="368">
      <x:c r="A368" s="101" t="str">
        <x:v>静岡県</x:v>
      </x:c>
      <x:c r="B368" s="101" t="str">
        <x:v>I</x:v>
      </x:c>
      <x:c r="C368" s="101" t="str">
        <x:v>卸売業，小売業</x:v>
      </x:c>
      <x:c r="D368" s="102" t="n">
        <x:v>315878</x:v>
      </x:c>
      <x:c r="E368" s="102" t="n">
        <x:f>1+COUNTIFS($C$4:$C$802,C368,$D$4:$D$802,"&gt;"&amp;D368)</x:f>
        <x:v>10</x:v>
      </x:c>
      <x:c r="F368" s="102" t="n">
        <x:v>3633202</x:v>
      </x:c>
      <x:c r="G368" s="126" t="n">
        <x:f>D368/F368*10000</x:f>
        <x:v>869.4204175820668</x:v>
      </x:c>
      <x:c r="H368" s="127" t="n">
        <x:f>1+COUNTIFS($C$4:$C$802,C368,$G$4:$G$802,"&gt;"&amp;G368)</x:f>
        <x:v>15</x:v>
      </x:c>
      <x:c r="I368" s="128" t="n">
        <x:f>D368/SUMIF($C$4:$C$802,C368,$D$4:$D$802)</x:f>
        <x:v>0.027202899364480854</x:v>
      </x:c>
      <x:c r="J368" s="103" t="n">
        <x:f>(D368/SUMIF($A$4:$A$802,A368,$D$4:$D$802))/(SUMIF($C$4:$C$802,C368,$D$4:$D$802)/SUM($D$4:$D$802))</x:f>
        <x:v>0.9107144356295914</x:v>
      </x:c>
    </x:row>
    <x:row r="369">
      <x:c r="A369" s="101" t="str">
        <x:v>静岡県</x:v>
      </x:c>
      <x:c r="B369" s="101" t="str">
        <x:v>J</x:v>
      </x:c>
      <x:c r="C369" s="101" t="str">
        <x:v>金融業，保険業</x:v>
      </x:c>
      <x:c r="D369" s="102" t="n">
        <x:v>35864</x:v>
      </x:c>
      <x:c r="E369" s="102" t="n">
        <x:f>1+COUNTIFS($C$4:$C$802,C369,$D$4:$D$802,"&gt;"&amp;D369)</x:f>
        <x:v>10</x:v>
      </x:c>
      <x:c r="F369" s="102" t="n">
        <x:v>3633202</x:v>
      </x:c>
      <x:c r="G369" s="126" t="n">
        <x:f>D369/F369*10000</x:f>
        <x:v>98.71182499624298</x:v>
      </x:c>
      <x:c r="H369" s="127" t="n">
        <x:f>1+COUNTIFS($C$4:$C$802,C369,$G$4:$G$802,"&gt;"&amp;G369)</x:f>
        <x:v>25</x:v>
      </x:c>
      <x:c r="I369" s="128" t="n">
        <x:f>D369/SUMIF($C$4:$C$802,C369,$D$4:$D$802)</x:f>
        <x:v>0.023998351217449258</x:v>
      </x:c>
      <x:c r="J369" s="103" t="n">
        <x:f>(D369/SUMIF($A$4:$A$802,A369,$D$4:$D$802))/(SUMIF($C$4:$C$802,C369,$D$4:$D$802)/SUM($D$4:$D$802))</x:f>
        <x:v>0.8034307149471426</x:v>
      </x:c>
    </x:row>
    <x:row r="370">
      <x:c r="A370" s="101" t="str">
        <x:v>静岡県</x:v>
      </x:c>
      <x:c r="B370" s="101" t="str">
        <x:v>K</x:v>
      </x:c>
      <x:c r="C370" s="101" t="str">
        <x:v>不動産業，物品賃貸業</x:v>
      </x:c>
      <x:c r="D370" s="102" t="n">
        <x:v>35307</x:v>
      </x:c>
      <x:c r="E370" s="102" t="n">
        <x:f>1+COUNTIFS($C$4:$C$802,C370,$D$4:$D$802,"&gt;"&amp;D370)</x:f>
        <x:v>10</x:v>
      </x:c>
      <x:c r="F370" s="102" t="n">
        <x:v>3633202</x:v>
      </x:c>
      <x:c r="G370" s="126" t="n">
        <x:f>D370/F370*10000</x:f>
        <x:v>97.1787420572817</x:v>
      </x:c>
      <x:c r="H370" s="127" t="n">
        <x:f>1+COUNTIFS($C$4:$C$802,C370,$G$4:$G$802,"&gt;"&amp;G370)</x:f>
        <x:v>17</x:v>
      </x:c>
      <x:c r="I370" s="128" t="n">
        <x:f>D370/SUMIF($C$4:$C$802,C370,$D$4:$D$802)</x:f>
        <x:v>0.0218195234275445</x:v>
      </x:c>
      <x:c r="J370" s="103" t="n">
        <x:f>(D370/SUMIF($A$4:$A$802,A370,$D$4:$D$802))/(SUMIF($C$4:$C$802,C370,$D$4:$D$802)/SUM($D$4:$D$802))</x:f>
        <x:v>0.7304866550353488</x:v>
      </x:c>
    </x:row>
    <x:row r="371">
      <x:c r="A371" s="101" t="str">
        <x:v>静岡県</x:v>
      </x:c>
      <x:c r="B371" s="101" t="str">
        <x:v>L</x:v>
      </x:c>
      <x:c r="C371" s="101" t="str">
        <x:v>学術研究，専門・技術サービス業</x:v>
      </x:c>
      <x:c r="D371" s="102" t="n">
        <x:v>49110</x:v>
      </x:c>
      <x:c r="E371" s="102" t="n">
        <x:f>1+COUNTIFS($C$4:$C$802,C371,$D$4:$D$802,"&gt;"&amp;D371)</x:f>
        <x:v>11</x:v>
      </x:c>
      <x:c r="F371" s="102" t="n">
        <x:v>3633202</x:v>
      </x:c>
      <x:c r="G371" s="126" t="n">
        <x:f>D371/F371*10000</x:f>
        <x:v>135.17002357699903</x:v>
      </x:c>
      <x:c r="H371" s="127" t="n">
        <x:f>1+COUNTIFS($C$4:$C$802,C371,$G$4:$G$802,"&gt;"&amp;G371)</x:f>
        <x:v>13</x:v>
      </x:c>
      <x:c r="I371" s="128" t="n">
        <x:f>D371/SUMIF($C$4:$C$802,C371,$D$4:$D$802)</x:f>
        <x:v>0.023176901440356407</x:v>
      </x:c>
      <x:c r="J371" s="103" t="n">
        <x:f>(D371/SUMIF($A$4:$A$802,A371,$D$4:$D$802))/(SUMIF($C$4:$C$802,C371,$D$4:$D$802)/SUM($D$4:$D$802))</x:f>
        <x:v>0.7759297430794165</x:v>
      </x:c>
    </x:row>
    <x:row r="372">
      <x:c r="A372" s="101" t="str">
        <x:v>静岡県</x:v>
      </x:c>
      <x:c r="B372" s="101" t="str">
        <x:v>M</x:v>
      </x:c>
      <x:c r="C372" s="101" t="str">
        <x:v>宿泊業，飲食サービス業</x:v>
      </x:c>
      <x:c r="D372" s="102" t="n">
        <x:v>142314</x:v>
      </x:c>
      <x:c r="E372" s="102" t="n">
        <x:f>1+COUNTIFS($C$4:$C$802,C372,$D$4:$D$802,"&gt;"&amp;D372)</x:f>
        <x:v>10</x:v>
      </x:c>
      <x:c r="F372" s="102" t="n">
        <x:v>3633202</x:v>
      </x:c>
      <x:c r="G372" s="126" t="n">
        <x:f>D372/F372*10000</x:f>
        <x:v>391.7040671011411</x:v>
      </x:c>
      <x:c r="H372" s="127" t="n">
        <x:f>1+COUNTIFS($C$4:$C$802,C372,$G$4:$G$802,"&gt;"&amp;G372)</x:f>
        <x:v>8</x:v>
      </x:c>
      <x:c r="I372" s="128" t="n">
        <x:f>D372/SUMIF($C$4:$C$802,C372,$D$4:$D$802)</x:f>
        <x:v>0.030417170096472577</x:v>
      </x:c>
      <x:c r="J372" s="103" t="n">
        <x:f>(D372/SUMIF($A$4:$A$802,A372,$D$4:$D$802))/(SUMIF($C$4:$C$802,C372,$D$4:$D$802)/SUM($D$4:$D$802))</x:f>
        <x:v>1.0183236546479415</x:v>
      </x:c>
    </x:row>
    <x:row r="373">
      <x:c r="A373" s="101" t="str">
        <x:v>静岡県</x:v>
      </x:c>
      <x:c r="B373" s="101" t="str">
        <x:v>N</x:v>
      </x:c>
      <x:c r="C373" s="101" t="str">
        <x:v>生活関連サービス業，娯楽業</x:v>
      </x:c>
      <x:c r="D373" s="102" t="n">
        <x:v>62865</x:v>
      </x:c>
      <x:c r="E373" s="102" t="n">
        <x:f>1+COUNTIFS($C$4:$C$802,C373,$D$4:$D$802,"&gt;"&amp;D373)</x:f>
        <x:v>10</x:v>
      </x:c>
      <x:c r="F373" s="102" t="n">
        <x:v>3633202</x:v>
      </x:c>
      <x:c r="G373" s="126" t="n">
        <x:f>D373/F373*10000</x:f>
        <x:v>173.029190229445</x:v>
      </x:c>
      <x:c r="H373" s="127" t="n">
        <x:f>1+COUNTIFS($C$4:$C$802,C373,$G$4:$G$802,"&gt;"&amp;G373)</x:f>
        <x:v>13</x:v>
      </x:c>
      <x:c r="I373" s="128" t="n">
        <x:f>D373/SUMIF($C$4:$C$802,C373,$D$4:$D$802)</x:f>
        <x:v>0.028888320093523438</x:v>
      </x:c>
      <x:c r="J373" s="103" t="n">
        <x:f>(D373/SUMIF($A$4:$A$802,A373,$D$4:$D$802))/(SUMIF($C$4:$C$802,C373,$D$4:$D$802)/SUM($D$4:$D$802))</x:f>
        <x:v>0.9671399279082791</x:v>
      </x:c>
    </x:row>
    <x:row r="374">
      <x:c r="A374" s="101" t="str">
        <x:v>静岡県</x:v>
      </x:c>
      <x:c r="B374" s="101" t="str">
        <x:v>O</x:v>
      </x:c>
      <x:c r="C374" s="101" t="str">
        <x:v>教育，学習支援業</x:v>
      </x:c>
      <x:c r="D374" s="102" t="n">
        <x:v>46422</x:v>
      </x:c>
      <x:c r="E374" s="102" t="n">
        <x:f>1+COUNTIFS($C$4:$C$802,C374,$D$4:$D$802,"&gt;"&amp;D374)</x:f>
        <x:v>11</x:v>
      </x:c>
      <x:c r="F374" s="102" t="n">
        <x:v>3633202</x:v>
      </x:c>
      <x:c r="G374" s="126" t="n">
        <x:f>D374/F374*10000</x:f>
        <x:v>127.77159100980347</x:v>
      </x:c>
      <x:c r="H374" s="127" t="n">
        <x:f>1+COUNTIFS($C$4:$C$802,C374,$G$4:$G$802,"&gt;"&amp;G374)</x:f>
        <x:v>28</x:v>
      </x:c>
      <x:c r="I374" s="128" t="n">
        <x:f>D374/SUMIF($C$4:$C$802,C374,$D$4:$D$802)</x:f>
        <x:v>0.02379719633737865</x:v>
      </x:c>
      <x:c r="J374" s="103" t="n">
        <x:f>(D374/SUMIF($A$4:$A$802,A374,$D$4:$D$802))/(SUMIF($C$4:$C$802,C374,$D$4:$D$802)/SUM($D$4:$D$802))</x:f>
        <x:v>0.7966963352538938</x:v>
      </x:c>
    </x:row>
    <x:row r="375">
      <x:c r="A375" s="101" t="str">
        <x:v>静岡県</x:v>
      </x:c>
      <x:c r="B375" s="101" t="str">
        <x:v>P</x:v>
      </x:c>
      <x:c r="C375" s="101" t="str">
        <x:v>医療，福祉</x:v>
      </x:c>
      <x:c r="D375" s="102" t="n">
        <x:v>204400</x:v>
      </x:c>
      <x:c r="E375" s="102" t="n">
        <x:f>1+COUNTIFS($C$4:$C$802,C375,$D$4:$D$802,"&gt;"&amp;D375)</x:f>
        <x:v>10</x:v>
      </x:c>
      <x:c r="F375" s="102" t="n">
        <x:v>3633202</x:v>
      </x:c>
      <x:c r="G375" s="126" t="n">
        <x:f>D375/F375*10000</x:f>
        <x:v>562.5891431304948</x:v>
      </x:c>
      <x:c r="H375" s="127" t="n">
        <x:f>1+COUNTIFS($C$4:$C$802,C375,$G$4:$G$802,"&gt;"&amp;G375)</x:f>
        <x:v>43</x:v>
      </x:c>
      <x:c r="I375" s="128" t="n">
        <x:f>D375/SUMIF($C$4:$C$802,C375,$D$4:$D$802)</x:f>
        <x:v>0.025041660551225264</x:v>
      </x:c>
      <x:c r="J375" s="103" t="n">
        <x:f>(D375/SUMIF($A$4:$A$802,A375,$D$4:$D$802))/(SUMIF($C$4:$C$802,C375,$D$4:$D$802)/SUM($D$4:$D$802))</x:f>
        <x:v>0.8383592296751547</x:v>
      </x:c>
    </x:row>
    <x:row r="376">
      <x:c r="A376" s="101" t="str">
        <x:v>静岡県</x:v>
      </x:c>
      <x:c r="B376" s="101" t="str">
        <x:v>Q</x:v>
      </x:c>
      <x:c r="C376" s="101" t="str">
        <x:v>複合サービス事業</x:v>
      </x:c>
      <x:c r="D376" s="102" t="n">
        <x:v>13784</x:v>
      </x:c>
      <x:c r="E376" s="102" t="n">
        <x:f>1+COUNTIFS($C$4:$C$802,C376,$D$4:$D$802,"&gt;"&amp;D376)</x:f>
        <x:v>10</x:v>
      </x:c>
      <x:c r="F376" s="102" t="n">
        <x:v>3633202</x:v>
      </x:c>
      <x:c r="G376" s="126" t="n">
        <x:f>D376/F376*10000</x:f>
        <x:v>37.93898605142241</x:v>
      </x:c>
      <x:c r="H376" s="127" t="n">
        <x:f>1+COUNTIFS($C$4:$C$802,C376,$G$4:$G$802,"&gt;"&amp;G376)</x:f>
        <x:v>32</x:v>
      </x:c>
      <x:c r="I376" s="128" t="n">
        <x:f>D376/SUMIF($C$4:$C$802,C376,$D$4:$D$802)</x:f>
        <x:v>0.031616854370713585</x:v>
      </x:c>
      <x:c r="J376" s="103" t="n">
        <x:f>(D376/SUMIF($A$4:$A$802,A376,$D$4:$D$802))/(SUMIF($C$4:$C$802,C376,$D$4:$D$802)/SUM($D$4:$D$802))</x:f>
        <x:v>1.0584873802902042</x:v>
      </x:c>
    </x:row>
    <x:row r="377">
      <x:c r="A377" s="101" t="str">
        <x:v>静岡県</x:v>
      </x:c>
      <x:c r="B377" s="101" t="str">
        <x:v>R</x:v>
      </x:c>
      <x:c r="C377" s="101" t="str">
        <x:v>サービス業（他に分類されないもの）</x:v>
      </x:c>
      <x:c r="D377" s="102" t="n">
        <x:v>147441</x:v>
      </x:c>
      <x:c r="E377" s="102" t="n">
        <x:f>1+COUNTIFS($C$4:$C$802,C377,$D$4:$D$802,"&gt;"&amp;D377)</x:f>
        <x:v>10</x:v>
      </x:c>
      <x:c r="F377" s="102" t="n">
        <x:v>3633202</x:v>
      </x:c>
      <x:c r="G377" s="126" t="n">
        <x:f>D377/F377*10000</x:f>
        <x:v>405.81558636156205</x:v>
      </x:c>
      <x:c r="H377" s="127" t="n">
        <x:f>1+COUNTIFS($C$4:$C$802,C377,$G$4:$G$802,"&gt;"&amp;G377)</x:f>
        <x:v>7</x:v>
      </x:c>
      <x:c r="I377" s="128" t="n">
        <x:f>D377/SUMIF($C$4:$C$802,C377,$D$4:$D$802)</x:f>
        <x:v>0.02816803732736352</x:v>
      </x:c>
      <x:c r="J377" s="103" t="n">
        <x:f>(D377/SUMIF($A$4:$A$802,A377,$D$4:$D$802))/(SUMIF($C$4:$C$802,C377,$D$4:$D$802)/SUM($D$4:$D$802))</x:f>
        <x:v>0.9430258838834882</x:v>
      </x:c>
    </x:row>
    <x:row r="378">
      <x:c r="A378" s="101" t="str">
        <x:v>愛知県</x:v>
      </x:c>
      <x:c r="B378" s="101" t="str">
        <x:v>AB</x:v>
      </x:c>
      <x:c r="C378" s="101" t="str">
        <x:v>農林漁業</x:v>
      </x:c>
      <x:c r="D378" s="102" t="n">
        <x:v>11320</x:v>
      </x:c>
      <x:c r="E378" s="102" t="n">
        <x:f>1+COUNTIFS($C$4:$C$802,C378,$D$4:$D$802,"&gt;"&amp;D378)</x:f>
        <x:v>14</x:v>
      </x:c>
      <x:c r="F378" s="102" t="n">
        <x:v>7542415</x:v>
      </x:c>
      <x:c r="G378" s="126" t="n">
        <x:f>D378/F378*10000</x:f>
        <x:v>15.00845551457988</x:v>
      </x:c>
      <x:c r="H378" s="127" t="n">
        <x:f>1+COUNTIFS($C$4:$C$802,C378,$G$4:$G$802,"&gt;"&amp;G378)</x:f>
        <x:v>43</x:v>
      </x:c>
      <x:c r="I378" s="128" t="n">
        <x:f>D378/SUMIF($C$4:$C$802,C378,$D$4:$D$802)</x:f>
        <x:v>0.024950242779968393</x:v>
      </x:c>
      <x:c r="J378" s="103" t="n">
        <x:f>(D378/SUMIF($A$4:$A$802,A378,$D$4:$D$802))/(SUMIF($C$4:$C$802,C378,$D$4:$D$802)/SUM($D$4:$D$802))</x:f>
        <x:v>0.37864306542353915</x:v>
      </x:c>
    </x:row>
    <x:row r="379">
      <x:c r="A379" s="101" t="str">
        <x:v>愛知県</x:v>
      </x:c>
      <x:c r="B379" s="101" t="str">
        <x:v>C</x:v>
      </x:c>
      <x:c r="C379" s="101" t="str">
        <x:v>鉱業，採石業，砂利採取業</x:v>
      </x:c>
      <x:c r="D379" s="102" t="n">
        <x:v>499</x:v>
      </x:c>
      <x:c r="E379" s="102" t="n">
        <x:f>1+COUNTIFS($C$4:$C$802,C379,$D$4:$D$802,"&gt;"&amp;D379)</x:f>
        <x:v>12</x:v>
      </x:c>
      <x:c r="F379" s="102" t="n">
        <x:v>7542415</x:v>
      </x:c>
      <x:c r="G379" s="126" t="n">
        <x:f>D379/F379*10000</x:f>
        <x:v>0.6615918111108975</x:v>
      </x:c>
      <x:c r="H379" s="127" t="n">
        <x:f>1+COUNTIFS($C$4:$C$802,C379,$G$4:$G$802,"&gt;"&amp;G379)</x:f>
        <x:v>39</x:v>
      </x:c>
      <x:c r="I379" s="128" t="n">
        <x:f>D379/SUMIF($C$4:$C$802,C379,$D$4:$D$802)</x:f>
        <x:v>0.025333807178758185</x:v>
      </x:c>
      <x:c r="J379" s="103" t="n">
        <x:f>(D379/SUMIF($A$4:$A$802,A379,$D$4:$D$802))/(SUMIF($C$4:$C$802,C379,$D$4:$D$802)/SUM($D$4:$D$802))</x:f>
        <x:v>0.3844640107756905</x:v>
      </x:c>
    </x:row>
    <x:row r="380">
      <x:c r="A380" s="101" t="str">
        <x:v>愛知県</x:v>
      </x:c>
      <x:c r="B380" s="101" t="str">
        <x:v>D</x:v>
      </x:c>
      <x:c r="C380" s="101" t="str">
        <x:v>建設業</x:v>
      </x:c>
      <x:c r="D380" s="102" t="n">
        <x:v>217282</x:v>
      </x:c>
      <x:c r="E380" s="102" t="n">
        <x:f>1+COUNTIFS($C$4:$C$802,C380,$D$4:$D$802,"&gt;"&amp;D380)</x:f>
        <x:v>3</x:v>
      </x:c>
      <x:c r="F380" s="102" t="n">
        <x:v>7542415</x:v>
      </x:c>
      <x:c r="G380" s="126" t="n">
        <x:f>D380/F380*10000</x:f>
        <x:v>288.08014409177963</x:v>
      </x:c>
      <x:c r="H380" s="127" t="n">
        <x:f>1+COUNTIFS($C$4:$C$802,C380,$G$4:$G$802,"&gt;"&amp;G380)</x:f>
        <x:v>35</x:v>
      </x:c>
      <x:c r="I380" s="128" t="n">
        <x:f>D380/SUMIF($C$4:$C$802,C380,$D$4:$D$802)</x:f>
        <x:v>0.05813697435259397</x:v>
      </x:c>
      <x:c r="J380" s="103" t="n">
        <x:f>(D380/SUMIF($A$4:$A$802,A380,$D$4:$D$802))/(SUMIF($C$4:$C$802,C380,$D$4:$D$802)/SUM($D$4:$D$802))</x:f>
        <x:v>0.8822824842806496</x:v>
      </x:c>
    </x:row>
    <x:row r="381">
      <x:c r="A381" s="101" t="str">
        <x:v>愛知県</x:v>
      </x:c>
      <x:c r="B381" s="101" t="str">
        <x:v>E</x:v>
      </x:c>
      <x:c r="C381" s="101" t="str">
        <x:v>製造業</x:v>
      </x:c>
      <x:c r="D381" s="102" t="n">
        <x:v>908754</x:v>
      </x:c>
      <x:c r="E381" s="102" t="n">
        <x:f>1+COUNTIFS($C$4:$C$802,C381,$D$4:$D$802,"&gt;"&amp;D381)</x:f>
        <x:v>1</x:v>
      </x:c>
      <x:c r="F381" s="102" t="n">
        <x:v>7542415</x:v>
      </x:c>
      <x:c r="G381" s="126" t="n">
        <x:f>D381/F381*10000</x:f>
        <x:v>1204.8581256799048</x:v>
      </x:c>
      <x:c r="H381" s="127" t="n">
        <x:f>1+COUNTIFS($C$4:$C$802,C381,$G$4:$G$802,"&gt;"&amp;G381)</x:f>
        <x:v>3</x:v>
      </x:c>
      <x:c r="I381" s="128" t="n">
        <x:f>D381/SUMIF($C$4:$C$802,C381,$D$4:$D$802)</x:f>
        <x:v>0.1032247672923584</x:v>
      </x:c>
      <x:c r="J381" s="103" t="n">
        <x:f>(D381/SUMIF($A$4:$A$802,A381,$D$4:$D$802))/(SUMIF($C$4:$C$802,C381,$D$4:$D$802)/SUM($D$4:$D$802))</x:f>
        <x:v>1.5665315427948545</x:v>
      </x:c>
    </x:row>
    <x:row r="382">
      <x:c r="A382" s="101" t="str">
        <x:v>愛知県</x:v>
      </x:c>
      <x:c r="B382" s="101" t="str">
        <x:v>F</x:v>
      </x:c>
      <x:c r="C382" s="101" t="str">
        <x:v>電気・ガス・熱供給・水道業</x:v>
      </x:c>
      <x:c r="D382" s="102" t="n">
        <x:v>15616</x:v>
      </x:c>
      <x:c r="E382" s="102" t="n">
        <x:f>1+COUNTIFS($C$4:$C$802,C382,$D$4:$D$802,"&gt;"&amp;D382)</x:f>
        <x:v>3</x:v>
      </x:c>
      <x:c r="F382" s="102" t="n">
        <x:v>7542415</x:v>
      </x:c>
      <x:c r="G382" s="126" t="n">
        <x:f>D382/F382*10000</x:f>
        <x:v>20.704243932480512</x:v>
      </x:c>
      <x:c r="H382" s="127" t="n">
        <x:f>1+COUNTIFS($C$4:$C$802,C382,$G$4:$G$802,"&gt;"&amp;G382)</x:f>
        <x:v>10</x:v>
      </x:c>
      <x:c r="I382" s="128" t="n">
        <x:f>D382/SUMIF($C$4:$C$802,C382,$D$4:$D$802)</x:f>
        <x:v>0.07724994929482708</x:v>
      </x:c>
      <x:c r="J382" s="103" t="n">
        <x:f>(D382/SUMIF($A$4:$A$802,A382,$D$4:$D$802))/(SUMIF($C$4:$C$802,C382,$D$4:$D$802)/SUM($D$4:$D$802))</x:f>
        <x:v>1.1723395985665575</x:v>
      </x:c>
    </x:row>
    <x:row r="383">
      <x:c r="A383" s="101" t="str">
        <x:v>愛知県</x:v>
      </x:c>
      <x:c r="B383" s="101" t="str">
        <x:v>G</x:v>
      </x:c>
      <x:c r="C383" s="101" t="str">
        <x:v>情報通信業</x:v>
      </x:c>
      <x:c r="D383" s="102" t="n">
        <x:v>89548</x:v>
      </x:c>
      <x:c r="E383" s="102" t="n">
        <x:f>1+COUNTIFS($C$4:$C$802,C383,$D$4:$D$802,"&gt;"&amp;D383)</x:f>
        <x:v>4</x:v>
      </x:c>
      <x:c r="F383" s="102" t="n">
        <x:v>7542415</x:v>
      </x:c>
      <x:c r="G383" s="126" t="n">
        <x:f>D383/F383*10000</x:f>
        <x:v>118.72589880031794</x:v>
      </x:c>
      <x:c r="H383" s="127" t="n">
        <x:f>1+COUNTIFS($C$4:$C$802,C383,$G$4:$G$802,"&gt;"&amp;G383)</x:f>
        <x:v>5</x:v>
      </x:c>
      <x:c r="I383" s="128" t="n">
        <x:f>D383/SUMIF($C$4:$C$802,C383,$D$4:$D$802)</x:f>
        <x:v>0.04507058699773862</x:v>
      </x:c>
      <x:c r="J383" s="103" t="n">
        <x:f>(D383/SUMIF($A$4:$A$802,A383,$D$4:$D$802))/(SUMIF($C$4:$C$802,C383,$D$4:$D$802)/SUM($D$4:$D$802))</x:f>
        <x:v>0.6839879423924258</x:v>
      </x:c>
    </x:row>
    <x:row r="384">
      <x:c r="A384" s="101" t="str">
        <x:v>愛知県</x:v>
      </x:c>
      <x:c r="B384" s="101" t="str">
        <x:v>H</x:v>
      </x:c>
      <x:c r="C384" s="101" t="str">
        <x:v>運輸業，郵便業</x:v>
      </x:c>
      <x:c r="D384" s="102" t="n">
        <x:v>215475</x:v>
      </x:c>
      <x:c r="E384" s="102" t="n">
        <x:f>1+COUNTIFS($C$4:$C$802,C384,$D$4:$D$802,"&gt;"&amp;D384)</x:f>
        <x:v>4</x:v>
      </x:c>
      <x:c r="F384" s="102" t="n">
        <x:v>7542415</x:v>
      </x:c>
      <x:c r="G384" s="126" t="n">
        <x:f>D384/F384*10000</x:f>
        <x:v>285.6843597176766</x:v>
      </x:c>
      <x:c r="H384" s="127" t="n">
        <x:f>1+COUNTIFS($C$4:$C$802,C384,$G$4:$G$802,"&gt;"&amp;G384)</x:f>
        <x:v>4</x:v>
      </x:c>
      <x:c r="I384" s="128" t="n">
        <x:f>D384/SUMIF($C$4:$C$802,C384,$D$4:$D$802)</x:f>
        <x:v>0.066000782912176</x:v>
      </x:c>
      <x:c r="J384" s="103" t="n">
        <x:f>(D384/SUMIF($A$4:$A$802,A384,$D$4:$D$802))/(SUMIF($C$4:$C$802,C384,$D$4:$D$802)/SUM($D$4:$D$802))</x:f>
        <x:v>1.0016230696674415</x:v>
      </x:c>
    </x:row>
    <x:row r="385">
      <x:c r="A385" s="101" t="str">
        <x:v>愛知県</x:v>
      </x:c>
      <x:c r="B385" s="101" t="str">
        <x:v>I</x:v>
      </x:c>
      <x:c r="C385" s="101" t="str">
        <x:v>卸売業，小売業</x:v>
      </x:c>
      <x:c r="D385" s="102" t="n">
        <x:v>734065</x:v>
      </x:c>
      <x:c r="E385" s="102" t="n">
        <x:f>1+COUNTIFS($C$4:$C$802,C385,$D$4:$D$802,"&gt;"&amp;D385)</x:f>
        <x:v>3</x:v>
      </x:c>
      <x:c r="F385" s="102" t="n">
        <x:v>7542415</x:v>
      </x:c>
      <x:c r="G385" s="126" t="n">
        <x:f>D385/F385*10000</x:f>
        <x:v>973.2492842146713</x:v>
      </x:c>
      <x:c r="H385" s="127" t="n">
        <x:f>1+COUNTIFS($C$4:$C$802,C385,$G$4:$G$802,"&gt;"&amp;G385)</x:f>
        <x:v>5</x:v>
      </x:c>
      <x:c r="I385" s="128" t="n">
        <x:f>D385/SUMIF($C$4:$C$802,C385,$D$4:$D$802)</x:f>
        <x:v>0.06321648333213342</x:v>
      </x:c>
      <x:c r="J385" s="103" t="n">
        <x:f>(D385/SUMIF($A$4:$A$802,A385,$D$4:$D$802))/(SUMIF($C$4:$C$802,C385,$D$4:$D$802)/SUM($D$4:$D$802))</x:f>
        <x:v>0.9593687422309479</x:v>
      </x:c>
    </x:row>
    <x:row r="386">
      <x:c r="A386" s="101" t="str">
        <x:v>愛知県</x:v>
      </x:c>
      <x:c r="B386" s="101" t="str">
        <x:v>J</x:v>
      </x:c>
      <x:c r="C386" s="101" t="str">
        <x:v>金融業，保険業</x:v>
      </x:c>
      <x:c r="D386" s="102" t="n">
        <x:v>76126</x:v>
      </x:c>
      <x:c r="E386" s="102" t="n">
        <x:f>1+COUNTIFS($C$4:$C$802,C386,$D$4:$D$802,"&gt;"&amp;D386)</x:f>
        <x:v>3</x:v>
      </x:c>
      <x:c r="F386" s="102" t="n">
        <x:v>7542415</x:v>
      </x:c>
      <x:c r="G386" s="126" t="n">
        <x:f>D386/F386*10000</x:f>
        <x:v>100.93053750025689</x:v>
      </x:c>
      <x:c r="H386" s="127" t="n">
        <x:f>1+COUNTIFS($C$4:$C$802,C386,$G$4:$G$802,"&gt;"&amp;G386)</x:f>
        <x:v>23</x:v>
      </x:c>
      <x:c r="I386" s="128" t="n">
        <x:f>D386/SUMIF($C$4:$C$802,C386,$D$4:$D$802)</x:f>
        <x:v>0.05093961869226919</x:v>
      </x:c>
      <x:c r="J386" s="103" t="n">
        <x:f>(D386/SUMIF($A$4:$A$802,A386,$D$4:$D$802))/(SUMIF($C$4:$C$802,C386,$D$4:$D$802)/SUM($D$4:$D$802))</x:f>
        <x:v>0.7730559395050286</x:v>
      </x:c>
    </x:row>
    <x:row r="387">
      <x:c r="A387" s="101" t="str">
        <x:v>愛知県</x:v>
      </x:c>
      <x:c r="B387" s="101" t="str">
        <x:v>K</x:v>
      </x:c>
      <x:c r="C387" s="101" t="str">
        <x:v>不動産業，物品賃貸業</x:v>
      </x:c>
      <x:c r="D387" s="102" t="n">
        <x:v>89559</x:v>
      </x:c>
      <x:c r="E387" s="102" t="n">
        <x:f>1+COUNTIFS($C$4:$C$802,C387,$D$4:$D$802,"&gt;"&amp;D387)</x:f>
        <x:v>4</x:v>
      </x:c>
      <x:c r="F387" s="102" t="n">
        <x:v>7542415</x:v>
      </x:c>
      <x:c r="G387" s="126" t="n">
        <x:f>D387/F387*10000</x:f>
        <x:v>118.74048298853883</x:v>
      </x:c>
      <x:c r="H387" s="127" t="n">
        <x:f>1+COUNTIFS($C$4:$C$802,C387,$G$4:$G$802,"&gt;"&amp;G387)</x:f>
        <x:v>9</x:v>
      </x:c>
      <x:c r="I387" s="128" t="n">
        <x:f>D387/SUMIF($C$4:$C$802,C387,$D$4:$D$802)</x:f>
        <x:v>0.05534694815893329</x:v>
      </x:c>
      <x:c r="J387" s="103" t="n">
        <x:f>(D387/SUMIF($A$4:$A$802,A387,$D$4:$D$802))/(SUMIF($C$4:$C$802,C387,$D$4:$D$802)/SUM($D$4:$D$802))</x:f>
        <x:v>0.8399412501733884</x:v>
      </x:c>
    </x:row>
    <x:row r="388">
      <x:c r="A388" s="101" t="str">
        <x:v>愛知県</x:v>
      </x:c>
      <x:c r="B388" s="101" t="str">
        <x:v>L</x:v>
      </x:c>
      <x:c r="C388" s="101" t="str">
        <x:v>学術研究，専門・技術サービス業</x:v>
      </x:c>
      <x:c r="D388" s="102" t="n">
        <x:v>133572</x:v>
      </x:c>
      <x:c r="E388" s="102" t="n">
        <x:f>1+COUNTIFS($C$4:$C$802,C388,$D$4:$D$802,"&gt;"&amp;D388)</x:f>
        <x:v>4</x:v>
      </x:c>
      <x:c r="F388" s="102" t="n">
        <x:v>7542415</x:v>
      </x:c>
      <x:c r="G388" s="126" t="n">
        <x:f>D388/F388*10000</x:f>
        <x:v>177.09447173087133</x:v>
      </x:c>
      <x:c r="H388" s="127" t="n">
        <x:f>1+COUNTIFS($C$4:$C$802,C388,$G$4:$G$802,"&gt;"&amp;G388)</x:f>
        <x:v>5</x:v>
      </x:c>
      <x:c r="I388" s="128" t="n">
        <x:f>D388/SUMIF($C$4:$C$802,C388,$D$4:$D$802)</x:f>
        <x:v>0.06303777396031941</x:v>
      </x:c>
      <x:c r="J388" s="103" t="n">
        <x:f>(D388/SUMIF($A$4:$A$802,A388,$D$4:$D$802))/(SUMIF($C$4:$C$802,C388,$D$4:$D$802)/SUM($D$4:$D$802))</x:f>
        <x:v>0.9566566618331612</x:v>
      </x:c>
    </x:row>
    <x:row r="389">
      <x:c r="A389" s="101" t="str">
        <x:v>愛知県</x:v>
      </x:c>
      <x:c r="B389" s="101" t="str">
        <x:v>M</x:v>
      </x:c>
      <x:c r="C389" s="101" t="str">
        <x:v>宿泊業，飲食サービス業</x:v>
      </x:c>
      <x:c r="D389" s="102" t="n">
        <x:v>291069</x:v>
      </x:c>
      <x:c r="E389" s="102" t="n">
        <x:f>1+COUNTIFS($C$4:$C$802,C389,$D$4:$D$802,"&gt;"&amp;D389)</x:f>
        <x:v>4</x:v>
      </x:c>
      <x:c r="F389" s="102" t="n">
        <x:v>7542415</x:v>
      </x:c>
      <x:c r="G389" s="126" t="n">
        <x:f>D389/F389*10000</x:f>
        <x:v>385.90955284215994</x:v>
      </x:c>
      <x:c r="H389" s="127" t="n">
        <x:f>1+COUNTIFS($C$4:$C$802,C389,$G$4:$G$802,"&gt;"&amp;G389)</x:f>
        <x:v>10</x:v>
      </x:c>
      <x:c r="I389" s="128" t="n">
        <x:f>D389/SUMIF($C$4:$C$802,C389,$D$4:$D$802)</x:f>
        <x:v>0.062210993175725336</x:v>
      </x:c>
      <x:c r="J389" s="103" t="n">
        <x:f>(D389/SUMIF($A$4:$A$802,A389,$D$4:$D$802))/(SUMIF($C$4:$C$802,C389,$D$4:$D$802)/SUM($D$4:$D$802))</x:f>
        <x:v>0.9441094969228735</x:v>
      </x:c>
    </x:row>
    <x:row r="390">
      <x:c r="A390" s="101" t="str">
        <x:v>愛知県</x:v>
      </x:c>
      <x:c r="B390" s="101" t="str">
        <x:v>N</x:v>
      </x:c>
      <x:c r="C390" s="101" t="str">
        <x:v>生活関連サービス業，娯楽業</x:v>
      </x:c>
      <x:c r="D390" s="102" t="n">
        <x:v>133282</x:v>
      </x:c>
      <x:c r="E390" s="102" t="n">
        <x:f>1+COUNTIFS($C$4:$C$802,C390,$D$4:$D$802,"&gt;"&amp;D390)</x:f>
        <x:v>4</x:v>
      </x:c>
      <x:c r="F390" s="102" t="n">
        <x:v>7542415</x:v>
      </x:c>
      <x:c r="G390" s="126" t="n">
        <x:f>D390/F390*10000</x:f>
        <x:v>176.70997949595719</x:v>
      </x:c>
      <x:c r="H390" s="127" t="n">
        <x:f>1+COUNTIFS($C$4:$C$802,C390,$G$4:$G$802,"&gt;"&amp;G390)</x:f>
        <x:v>9</x:v>
      </x:c>
      <x:c r="I390" s="128" t="n">
        <x:f>D390/SUMIF($C$4:$C$802,C390,$D$4:$D$802)</x:f>
        <x:v>0.06124700673991873</x:v>
      </x:c>
      <x:c r="J390" s="103" t="n">
        <x:f>(D390/SUMIF($A$4:$A$802,A390,$D$4:$D$802))/(SUMIF($C$4:$C$802,C390,$D$4:$D$802)/SUM($D$4:$D$802))</x:f>
        <x:v>0.9294801090528053</x:v>
      </x:c>
    </x:row>
    <x:row r="391">
      <x:c r="A391" s="101" t="str">
        <x:v>愛知県</x:v>
      </x:c>
      <x:c r="B391" s="101" t="str">
        <x:v>O</x:v>
      </x:c>
      <x:c r="C391" s="101" t="str">
        <x:v>教育，学習支援業</x:v>
      </x:c>
      <x:c r="D391" s="102" t="n">
        <x:v>121279</x:v>
      </x:c>
      <x:c r="E391" s="102" t="n">
        <x:f>1+COUNTIFS($C$4:$C$802,C391,$D$4:$D$802,"&gt;"&amp;D391)</x:f>
        <x:v>4</x:v>
      </x:c>
      <x:c r="F391" s="102" t="n">
        <x:v>7542415</x:v>
      </x:c>
      <x:c r="G391" s="126" t="n">
        <x:f>D391/F391*10000</x:f>
        <x:v>160.79597847638985</x:v>
      </x:c>
      <x:c r="H391" s="127" t="n">
        <x:f>1+COUNTIFS($C$4:$C$802,C391,$G$4:$G$802,"&gt;"&amp;G391)</x:f>
        <x:v>7</x:v>
      </x:c>
      <x:c r="I391" s="128" t="n">
        <x:f>D391/SUMIF($C$4:$C$802,C391,$D$4:$D$802)</x:f>
        <x:v>0.06217095718842241</x:v>
      </x:c>
      <x:c r="J391" s="103" t="n">
        <x:f>(D391/SUMIF($A$4:$A$802,A391,$D$4:$D$802))/(SUMIF($C$4:$C$802,C391,$D$4:$D$802)/SUM($D$4:$D$802))</x:f>
        <x:v>0.9435019136984003</x:v>
      </x:c>
    </x:row>
    <x:row r="392">
      <x:c r="A392" s="101" t="str">
        <x:v>愛知県</x:v>
      </x:c>
      <x:c r="B392" s="101" t="str">
        <x:v>P</x:v>
      </x:c>
      <x:c r="C392" s="101" t="str">
        <x:v>医療，福祉</x:v>
      </x:c>
      <x:c r="D392" s="102" t="n">
        <x:v>413770</x:v>
      </x:c>
      <x:c r="E392" s="102" t="n">
        <x:f>1+COUNTIFS($C$4:$C$802,C392,$D$4:$D$802,"&gt;"&amp;D392)</x:f>
        <x:v>4</x:v>
      </x:c>
      <x:c r="F392" s="102" t="n">
        <x:v>7542415</x:v>
      </x:c>
      <x:c r="G392" s="126" t="n">
        <x:f>D392/F392*10000</x:f>
        <x:v>548.5908691049219</x:v>
      </x:c>
      <x:c r="H392" s="127" t="n">
        <x:f>1+COUNTIFS($C$4:$C$802,C392,$G$4:$G$802,"&gt;"&amp;G392)</x:f>
        <x:v>44</x:v>
      </x:c>
      <x:c r="I392" s="128" t="n">
        <x:f>D392/SUMIF($C$4:$C$802,C392,$D$4:$D$802)</x:f>
        <x:v>0.0506922107939358</x:v>
      </x:c>
      <x:c r="J392" s="103" t="n">
        <x:f>(D392/SUMIF($A$4:$A$802,A392,$D$4:$D$802))/(SUMIF($C$4:$C$802,C392,$D$4:$D$802)/SUM($D$4:$D$802))</x:f>
        <x:v>0.7693012952772714</x:v>
      </x:c>
    </x:row>
    <x:row r="393">
      <x:c r="A393" s="101" t="str">
        <x:v>愛知県</x:v>
      </x:c>
      <x:c r="B393" s="101" t="str">
        <x:v>Q</x:v>
      </x:c>
      <x:c r="C393" s="101" t="str">
        <x:v>複合サービス事業</x:v>
      </x:c>
      <x:c r="D393" s="102" t="n">
        <x:v>22484</x:v>
      </x:c>
      <x:c r="E393" s="102" t="n">
        <x:f>1+COUNTIFS($C$4:$C$802,C393,$D$4:$D$802,"&gt;"&amp;D393)</x:f>
        <x:v>3</x:v>
      </x:c>
      <x:c r="F393" s="102" t="n">
        <x:v>7542415</x:v>
      </x:c>
      <x:c r="G393" s="126" t="n">
        <x:f>D393/F393*10000</x:f>
        <x:v>29.810080723481803</x:v>
      </x:c>
      <x:c r="H393" s="127" t="n">
        <x:f>1+COUNTIFS($C$4:$C$802,C393,$G$4:$G$802,"&gt;"&amp;G393)</x:f>
        <x:v>40</x:v>
      </x:c>
      <x:c r="I393" s="128" t="n">
        <x:f>D393/SUMIF($C$4:$C$802,C393,$D$4:$D$802)</x:f>
        <x:v>0.051572355896047896</x:v>
      </x:c>
      <x:c r="J393" s="103" t="n">
        <x:f>(D393/SUMIF($A$4:$A$802,A393,$D$4:$D$802))/(SUMIF($C$4:$C$802,C393,$D$4:$D$802)/SUM($D$4:$D$802))</x:f>
        <x:v>0.7826583131796702</x:v>
      </x:c>
    </x:row>
    <x:row r="394">
      <x:c r="A394" s="101" t="str">
        <x:v>愛知県</x:v>
      </x:c>
      <x:c r="B394" s="101" t="str">
        <x:v>R</x:v>
      </x:c>
      <x:c r="C394" s="101" t="str">
        <x:v>サービス業（他に分類されないもの）</x:v>
      </x:c>
      <x:c r="D394" s="102" t="n">
        <x:v>344842</x:v>
      </x:c>
      <x:c r="E394" s="102" t="n">
        <x:f>1+COUNTIFS($C$4:$C$802,C394,$D$4:$D$802,"&gt;"&amp;D394)</x:f>
        <x:v>3</x:v>
      </x:c>
      <x:c r="F394" s="102" t="n">
        <x:v>7542415</x:v>
      </x:c>
      <x:c r="G394" s="126" t="n">
        <x:f>D394/F394*10000</x:f>
        <x:v>457.2036940422928</x:v>
      </x:c>
      <x:c r="H394" s="127" t="n">
        <x:f>1+COUNTIFS($C$4:$C$802,C394,$G$4:$G$802,"&gt;"&amp;G394)</x:f>
        <x:v>3</x:v>
      </x:c>
      <x:c r="I394" s="128" t="n">
        <x:f>D394/SUMIF($C$4:$C$802,C394,$D$4:$D$802)</x:f>
        <x:v>0.06588074096108065</x:v>
      </x:c>
      <x:c r="J394" s="103" t="n">
        <x:f>(D394/SUMIF($A$4:$A$802,A394,$D$4:$D$802))/(SUMIF($C$4:$C$802,C394,$D$4:$D$802)/SUM($D$4:$D$802))</x:f>
        <x:v>0.9998013217693145</x:v>
      </x:c>
    </x:row>
    <x:row r="395">
      <x:c r="A395" s="101" t="str">
        <x:v>三重県</x:v>
      </x:c>
      <x:c r="B395" s="101" t="str">
        <x:v>AB</x:v>
      </x:c>
      <x:c r="C395" s="101" t="str">
        <x:v>農林漁業</x:v>
      </x:c>
      <x:c r="D395" s="102" t="n">
        <x:v>8980</x:v>
      </x:c>
      <x:c r="E395" s="102" t="n">
        <x:f>1+COUNTIFS($C$4:$C$802,C395,$D$4:$D$802,"&gt;"&amp;D395)</x:f>
        <x:v>24</x:v>
      </x:c>
      <x:c r="F395" s="102" t="n">
        <x:v>1770254</x:v>
      </x:c>
      <x:c r="G395" s="126" t="n">
        <x:f>D395/F395*10000</x:f>
        <x:v>50.727183782666216</x:v>
      </x:c>
      <x:c r="H395" s="127" t="n">
        <x:f>1+COUNTIFS($C$4:$C$802,C395,$G$4:$G$802,"&gt;"&amp;G395)</x:f>
        <x:v>25</x:v>
      </x:c>
      <x:c r="I395" s="128" t="n">
        <x:f>D395/SUMIF($C$4:$C$802,C395,$D$4:$D$802)</x:f>
        <x:v>0.019792683760080934</x:v>
      </x:c>
      <x:c r="J395" s="103" t="n">
        <x:f>(D395/SUMIF($A$4:$A$802,A395,$D$4:$D$802))/(SUMIF($C$4:$C$802,C395,$D$4:$D$802)/SUM($D$4:$D$802))</x:f>
        <x:v>1.4371382409520708</x:v>
      </x:c>
    </x:row>
    <x:row r="396">
      <x:c r="A396" s="101" t="str">
        <x:v>三重県</x:v>
      </x:c>
      <x:c r="B396" s="101" t="str">
        <x:v>C</x:v>
      </x:c>
      <x:c r="C396" s="101" t="str">
        <x:v>鉱業，採石業，砂利採取業</x:v>
      </x:c>
      <x:c r="D396" s="102" t="n">
        <x:v>427</x:v>
      </x:c>
      <x:c r="E396" s="102" t="n">
        <x:f>1+COUNTIFS($C$4:$C$802,C396,$D$4:$D$802,"&gt;"&amp;D396)</x:f>
        <x:v>18</x:v>
      </x:c>
      <x:c r="F396" s="102" t="n">
        <x:v>1770254</x:v>
      </x:c>
      <x:c r="G396" s="126" t="n">
        <x:f>D396/F396*10000</x:f>
        <x:v>2.412083237772659</x:v>
      </x:c>
      <x:c r="H396" s="127" t="n">
        <x:f>1+COUNTIFS($C$4:$C$802,C396,$G$4:$G$802,"&gt;"&amp;G396)</x:f>
        <x:v>17</x:v>
      </x:c>
      <x:c r="I396" s="128" t="n">
        <x:f>D396/SUMIF($C$4:$C$802,C396,$D$4:$D$802)</x:f>
        <x:v>0.02167842818703356</x:v>
      </x:c>
      <x:c r="J396" s="103" t="n">
        <x:f>(D396/SUMIF($A$4:$A$802,A396,$D$4:$D$802))/(SUMIF($C$4:$C$802,C396,$D$4:$D$802)/SUM($D$4:$D$802))</x:f>
        <x:v>1.5740613313973242</x:v>
      </x:c>
    </x:row>
    <x:row r="397">
      <x:c r="A397" s="101" t="str">
        <x:v>三重県</x:v>
      </x:c>
      <x:c r="B397" s="101" t="str">
        <x:v>D</x:v>
      </x:c>
      <x:c r="C397" s="101" t="str">
        <x:v>建設業</x:v>
      </x:c>
      <x:c r="D397" s="102" t="n">
        <x:v>46857</x:v>
      </x:c>
      <x:c r="E397" s="102" t="n">
        <x:f>1+COUNTIFS($C$4:$C$802,C397,$D$4:$D$802,"&gt;"&amp;D397)</x:f>
        <x:v>26</x:v>
      </x:c>
      <x:c r="F397" s="102" t="n">
        <x:v>1770254</x:v>
      </x:c>
      <x:c r="G397" s="126" t="n">
        <x:f>D397/F397*10000</x:f>
        <x:v>264.69082967754906</x:v>
      </x:c>
      <x:c r="H397" s="127" t="n">
        <x:f>1+COUNTIFS($C$4:$C$802,C397,$G$4:$G$802,"&gt;"&amp;G397)</x:f>
        <x:v>40</x:v>
      </x:c>
      <x:c r="I397" s="128" t="n">
        <x:f>D397/SUMIF($C$4:$C$802,C397,$D$4:$D$802)</x:f>
        <x:v>0.012537275095219557</x:v>
      </x:c>
      <x:c r="J397" s="103" t="n">
        <x:f>(D397/SUMIF($A$4:$A$802,A397,$D$4:$D$802))/(SUMIF($C$4:$C$802,C397,$D$4:$D$802)/SUM($D$4:$D$802))</x:f>
        <x:v>0.9103261434922437</x:v>
      </x:c>
    </x:row>
    <x:row r="398">
      <x:c r="A398" s="101" t="str">
        <x:v>三重県</x:v>
      </x:c>
      <x:c r="B398" s="101" t="str">
        <x:v>E</x:v>
      </x:c>
      <x:c r="C398" s="101" t="str">
        <x:v>製造業</x:v>
      </x:c>
      <x:c r="D398" s="102" t="n">
        <x:v>207911</x:v>
      </x:c>
      <x:c r="E398" s="102" t="n">
        <x:f>1+COUNTIFS($C$4:$C$802,C398,$D$4:$D$802,"&gt;"&amp;D398)</x:f>
        <x:v>16</x:v>
      </x:c>
      <x:c r="F398" s="102" t="n">
        <x:v>1770254</x:v>
      </x:c>
      <x:c r="G398" s="126" t="n">
        <x:f>D398/F398*10000</x:f>
        <x:v>1174.4698783338436</x:v>
      </x:c>
      <x:c r="H398" s="127" t="n">
        <x:f>1+COUNTIFS($C$4:$C$802,C398,$G$4:$G$802,"&gt;"&amp;G398)</x:f>
        <x:v>4</x:v>
      </x:c>
      <x:c r="I398" s="128" t="n">
        <x:f>D398/SUMIF($C$4:$C$802,C398,$D$4:$D$802)</x:f>
        <x:v>0.023616473316784882</x:v>
      </x:c>
      <x:c r="J398" s="103" t="n">
        <x:f>(D398/SUMIF($A$4:$A$802,A398,$D$4:$D$802))/(SUMIF($C$4:$C$802,C398,$D$4:$D$802)/SUM($D$4:$D$802))</x:f>
        <x:v>1.7147819533411748</x:v>
      </x:c>
    </x:row>
    <x:row r="399">
      <x:c r="A399" s="101" t="str">
        <x:v>三重県</x:v>
      </x:c>
      <x:c r="B399" s="101" t="str">
        <x:v>F</x:v>
      </x:c>
      <x:c r="C399" s="101" t="str">
        <x:v>電気・ガス・熱供給・水道業</x:v>
      </x:c>
      <x:c r="D399" s="102" t="n">
        <x:v>2947</x:v>
      </x:c>
      <x:c r="E399" s="102" t="n">
        <x:f>1+COUNTIFS($C$4:$C$802,C399,$D$4:$D$802,"&gt;"&amp;D399)</x:f>
        <x:v>21</x:v>
      </x:c>
      <x:c r="F399" s="102" t="n">
        <x:v>1770254</x:v>
      </x:c>
      <x:c r="G399" s="126" t="n">
        <x:f>D399/F399*10000</x:f>
        <x:v>16.647328575447364</x:v>
      </x:c>
      <x:c r="H399" s="127" t="n">
        <x:f>1+COUNTIFS($C$4:$C$802,C399,$G$4:$G$802,"&gt;"&amp;G399)</x:f>
        <x:v>20</x:v>
      </x:c>
      <x:c r="I399" s="128" t="n">
        <x:f>D399/SUMIF($C$4:$C$802,C399,$D$4:$D$802)</x:f>
        <x:v>0.014578355569406724</x:v>
      </x:c>
      <x:c r="J399" s="103" t="n">
        <x:f>(D399/SUMIF($A$4:$A$802,A399,$D$4:$D$802))/(SUMIF($C$4:$C$802,C399,$D$4:$D$802)/SUM($D$4:$D$802))</x:f>
        <x:v>1.0585281174070218</x:v>
      </x:c>
    </x:row>
    <x:row r="400">
      <x:c r="A400" s="101" t="str">
        <x:v>三重県</x:v>
      </x:c>
      <x:c r="B400" s="101" t="str">
        <x:v>G</x:v>
      </x:c>
      <x:c r="C400" s="101" t="str">
        <x:v>情報通信業</x:v>
      </x:c>
      <x:c r="D400" s="102" t="n">
        <x:v>5707</x:v>
      </x:c>
      <x:c r="E400" s="102" t="n">
        <x:f>1+COUNTIFS($C$4:$C$802,C400,$D$4:$D$802,"&gt;"&amp;D400)</x:f>
        <x:v>31</x:v>
      </x:c>
      <x:c r="F400" s="102" t="n">
        <x:v>1770254</x:v>
      </x:c>
      <x:c r="G400" s="126" t="n">
        <x:f>D400/F400*10000</x:f>
        <x:v>32.23831156432919</x:v>
      </x:c>
      <x:c r="H400" s="127" t="n">
        <x:f>1+COUNTIFS($C$4:$C$802,C400,$G$4:$G$802,"&gt;"&amp;G400)</x:f>
        <x:v>44</x:v>
      </x:c>
      <x:c r="I400" s="128" t="n">
        <x:f>D400/SUMIF($C$4:$C$802,C400,$D$4:$D$802)</x:f>
        <x:v>0.002872401840310161</x:v>
      </x:c>
      <x:c r="J400" s="103" t="n">
        <x:f>(D400/SUMIF($A$4:$A$802,A400,$D$4:$D$802))/(SUMIF($C$4:$C$802,C400,$D$4:$D$802)/SUM($D$4:$D$802))</x:f>
        <x:v>0.2085638601681956</x:v>
      </x:c>
    </x:row>
    <x:row r="401">
      <x:c r="A401" s="101" t="str">
        <x:v>三重県</x:v>
      </x:c>
      <x:c r="B401" s="101" t="str">
        <x:v>H</x:v>
      </x:c>
      <x:c r="C401" s="101" t="str">
        <x:v>運輸業，郵便業</x:v>
      </x:c>
      <x:c r="D401" s="102" t="n">
        <x:v>45358</x:v>
      </x:c>
      <x:c r="E401" s="102" t="n">
        <x:f>1+COUNTIFS($C$4:$C$802,C401,$D$4:$D$802,"&gt;"&amp;D401)</x:f>
        <x:v>19</x:v>
      </x:c>
      <x:c r="F401" s="102" t="n">
        <x:v>1770254</x:v>
      </x:c>
      <x:c r="G401" s="126" t="n">
        <x:f>D401/F401*10000</x:f>
        <x:v>256.22311826438465</x:v>
      </x:c>
      <x:c r="H401" s="127" t="n">
        <x:f>1+COUNTIFS($C$4:$C$802,C401,$G$4:$G$802,"&gt;"&amp;G401)</x:f>
        <x:v>15</x:v>
      </x:c>
      <x:c r="I401" s="128" t="n">
        <x:f>D401/SUMIF($C$4:$C$802,C401,$D$4:$D$802)</x:f>
        <x:v>0.013893321783643017</x:v>
      </x:c>
      <x:c r="J401" s="103" t="n">
        <x:f>(D401/SUMIF($A$4:$A$802,A401,$D$4:$D$802))/(SUMIF($C$4:$C$802,C401,$D$4:$D$802)/SUM($D$4:$D$802))</x:f>
        <x:v>1.0087881093414774</x:v>
      </x:c>
    </x:row>
    <x:row r="402">
      <x:c r="A402" s="101" t="str">
        <x:v>三重県</x:v>
      </x:c>
      <x:c r="B402" s="101" t="str">
        <x:v>I</x:v>
      </x:c>
      <x:c r="C402" s="101" t="str">
        <x:v>卸売業，小売業</x:v>
      </x:c>
      <x:c r="D402" s="102" t="n">
        <x:v>142069</x:v>
      </x:c>
      <x:c r="E402" s="102" t="n">
        <x:f>1+COUNTIFS($C$4:$C$802,C402,$D$4:$D$802,"&gt;"&amp;D402)</x:f>
        <x:v>23</x:v>
      </x:c>
      <x:c r="F402" s="102" t="n">
        <x:v>1770254</x:v>
      </x:c>
      <x:c r="G402" s="126" t="n">
        <x:f>D402/F402*10000</x:f>
        <x:v>802.5345515389316</x:v>
      </x:c>
      <x:c r="H402" s="127" t="n">
        <x:f>1+COUNTIFS($C$4:$C$802,C402,$G$4:$G$802,"&gt;"&amp;G402)</x:f>
        <x:v>40</x:v>
      </x:c>
      <x:c r="I402" s="128" t="n">
        <x:f>D402/SUMIF($C$4:$C$802,C402,$D$4:$D$802)</x:f>
        <x:v>0.012234751105846025</x:v>
      </x:c>
      <x:c r="J402" s="103" t="n">
        <x:f>(D402/SUMIF($A$4:$A$802,A402,$D$4:$D$802))/(SUMIF($C$4:$C$802,C402,$D$4:$D$802)/SUM($D$4:$D$802))</x:f>
        <x:v>0.8883600069539058</x:v>
      </x:c>
    </x:row>
    <x:row r="403">
      <x:c r="A403" s="101" t="str">
        <x:v>三重県</x:v>
      </x:c>
      <x:c r="B403" s="101" t="str">
        <x:v>J</x:v>
      </x:c>
      <x:c r="C403" s="101" t="str">
        <x:v>金融業，保険業</x:v>
      </x:c>
      <x:c r="D403" s="102" t="n">
        <x:v>16843</x:v>
      </x:c>
      <x:c r="E403" s="102" t="n">
        <x:f>1+COUNTIFS($C$4:$C$802,C403,$D$4:$D$802,"&gt;"&amp;D403)</x:f>
        <x:v>21</x:v>
      </x:c>
      <x:c r="F403" s="102" t="n">
        <x:v>1770254</x:v>
      </x:c>
      <x:c r="G403" s="126" t="n">
        <x:f>D403/F403*10000</x:f>
        <x:v>95.14453858033932</x:v>
      </x:c>
      <x:c r="H403" s="127" t="n">
        <x:f>1+COUNTIFS($C$4:$C$802,C403,$G$4:$G$802,"&gt;"&amp;G403)</x:f>
        <x:v>29</x:v>
      </x:c>
      <x:c r="I403" s="128" t="n">
        <x:f>D403/SUMIF($C$4:$C$802,C403,$D$4:$D$802)</x:f>
        <x:v>0.011270472606387963</x:v>
      </x:c>
      <x:c r="J403" s="103" t="n">
        <x:f>(D403/SUMIF($A$4:$A$802,A403,$D$4:$D$802))/(SUMIF($C$4:$C$802,C403,$D$4:$D$802)/SUM($D$4:$D$802))</x:f>
        <x:v>0.8183441605281659</x:v>
      </x:c>
    </x:row>
    <x:row r="404">
      <x:c r="A404" s="101" t="str">
        <x:v>三重県</x:v>
      </x:c>
      <x:c r="B404" s="101" t="str">
        <x:v>K</x:v>
      </x:c>
      <x:c r="C404" s="101" t="str">
        <x:v>不動産業，物品賃貸業</x:v>
      </x:c>
      <x:c r="D404" s="102" t="n">
        <x:v>14179</x:v>
      </x:c>
      <x:c r="E404" s="102" t="n">
        <x:f>1+COUNTIFS($C$4:$C$802,C404,$D$4:$D$802,"&gt;"&amp;D404)</x:f>
        <x:v>24</x:v>
      </x:c>
      <x:c r="F404" s="102" t="n">
        <x:v>1770254</x:v>
      </x:c>
      <x:c r="G404" s="126" t="n">
        <x:f>D404/F404*10000</x:f>
        <x:v>80.09585065194034</x:v>
      </x:c>
      <x:c r="H404" s="127" t="n">
        <x:f>1+COUNTIFS($C$4:$C$802,C404,$G$4:$G$802,"&gt;"&amp;G404)</x:f>
        <x:v>35</x:v>
      </x:c>
      <x:c r="I404" s="128" t="n">
        <x:f>D404/SUMIF($C$4:$C$802,C404,$D$4:$D$802)</x:f>
        <x:v>0.008762540648572618</x:v>
      </x:c>
      <x:c r="J404" s="103" t="n">
        <x:f>(D404/SUMIF($A$4:$A$802,A404,$D$4:$D$802))/(SUMIF($C$4:$C$802,C404,$D$4:$D$802)/SUM($D$4:$D$802))</x:f>
        <x:v>0.6362443015109931</x:v>
      </x:c>
    </x:row>
    <x:row r="405">
      <x:c r="A405" s="101" t="str">
        <x:v>三重県</x:v>
      </x:c>
      <x:c r="B405" s="101" t="str">
        <x:v>L</x:v>
      </x:c>
      <x:c r="C405" s="101" t="str">
        <x:v>学術研究，専門・技術サービス業</x:v>
      </x:c>
      <x:c r="D405" s="102" t="n">
        <x:v>16334</x:v>
      </x:c>
      <x:c r="E405" s="102" t="n">
        <x:f>1+COUNTIFS($C$4:$C$802,C405,$D$4:$D$802,"&gt;"&amp;D405)</x:f>
        <x:v>24</x:v>
      </x:c>
      <x:c r="F405" s="102" t="n">
        <x:v>1770254</x:v>
      </x:c>
      <x:c r="G405" s="126" t="n">
        <x:f>D405/F405*10000</x:f>
        <x:v>92.26924497840423</x:v>
      </x:c>
      <x:c r="H405" s="127" t="n">
        <x:f>1+COUNTIFS($C$4:$C$802,C405,$G$4:$G$802,"&gt;"&amp;G405)</x:f>
        <x:v>39</x:v>
      </x:c>
      <x:c r="I405" s="128" t="n">
        <x:f>D405/SUMIF($C$4:$C$802,C405,$D$4:$D$802)</x:f>
        <x:v>0.007708644026202027</x:v>
      </x:c>
      <x:c r="J405" s="103" t="n">
        <x:f>(D405/SUMIF($A$4:$A$802,A405,$D$4:$D$802))/(SUMIF($C$4:$C$802,C405,$D$4:$D$802)/SUM($D$4:$D$802))</x:f>
        <x:v>0.5597213217888735</x:v>
      </x:c>
    </x:row>
    <x:row r="406">
      <x:c r="A406" s="101" t="str">
        <x:v>三重県</x:v>
      </x:c>
      <x:c r="B406" s="101" t="str">
        <x:v>M</x:v>
      </x:c>
      <x:c r="C406" s="101" t="str">
        <x:v>宿泊業，飲食サービス業</x:v>
      </x:c>
      <x:c r="D406" s="102" t="n">
        <x:v>63978</x:v>
      </x:c>
      <x:c r="E406" s="102" t="n">
        <x:f>1+COUNTIFS($C$4:$C$802,C406,$D$4:$D$802,"&gt;"&amp;D406)</x:f>
        <x:v>20</x:v>
      </x:c>
      <x:c r="F406" s="102" t="n">
        <x:v>1770254</x:v>
      </x:c>
      <x:c r="G406" s="126" t="n">
        <x:f>D406/F406*10000</x:f>
        <x:v>361.40576437053664</x:v>
      </x:c>
      <x:c r="H406" s="127" t="n">
        <x:f>1+COUNTIFS($C$4:$C$802,C406,$G$4:$G$802,"&gt;"&amp;G406)</x:f>
        <x:v>16</x:v>
      </x:c>
      <x:c r="I406" s="128" t="n">
        <x:f>D406/SUMIF($C$4:$C$802,C406,$D$4:$D$802)</x:f>
        <x:v>0.013674197256995955</x:v>
      </x:c>
      <x:c r="J406" s="103" t="n">
        <x:f>(D406/SUMIF($A$4:$A$802,A406,$D$4:$D$802))/(SUMIF($C$4:$C$802,C406,$D$4:$D$802)/SUM($D$4:$D$802))</x:f>
        <x:v>0.9928775718624648</x:v>
      </x:c>
    </x:row>
    <x:row r="407">
      <x:c r="A407" s="101" t="str">
        <x:v>三重県</x:v>
      </x:c>
      <x:c r="B407" s="101" t="str">
        <x:v>N</x:v>
      </x:c>
      <x:c r="C407" s="101" t="str">
        <x:v>生活関連サービス業，娯楽業</x:v>
      </x:c>
      <x:c r="D407" s="102" t="n">
        <x:v>30097</x:v>
      </x:c>
      <x:c r="E407" s="102" t="n">
        <x:f>1+COUNTIFS($C$4:$C$802,C407,$D$4:$D$802,"&gt;"&amp;D407)</x:f>
        <x:v>20</x:v>
      </x:c>
      <x:c r="F407" s="102" t="n">
        <x:v>1770254</x:v>
      </x:c>
      <x:c r="G407" s="126" t="n">
        <x:f>D407/F407*10000</x:f>
        <x:v>170.01515036825225</x:v>
      </x:c>
      <x:c r="H407" s="127" t="n">
        <x:f>1+COUNTIFS($C$4:$C$802,C407,$G$4:$G$802,"&gt;"&amp;G407)</x:f>
        <x:v>20</x:v>
      </x:c>
      <x:c r="I407" s="128" t="n">
        <x:f>D407/SUMIF($C$4:$C$802,C407,$D$4:$D$802)</x:f>
        <x:v>0.013830458440384552</x:v>
      </x:c>
      <x:c r="J407" s="103" t="n">
        <x:f>(D407/SUMIF($A$4:$A$802,A407,$D$4:$D$802))/(SUMIF($C$4:$C$802,C407,$D$4:$D$802)/SUM($D$4:$D$802))</x:f>
        <x:v>1.0042236290695779</x:v>
      </x:c>
    </x:row>
    <x:row r="408">
      <x:c r="A408" s="101" t="str">
        <x:v>三重県</x:v>
      </x:c>
      <x:c r="B408" s="101" t="str">
        <x:v>O</x:v>
      </x:c>
      <x:c r="C408" s="101" t="str">
        <x:v>教育，学習支援業</x:v>
      </x:c>
      <x:c r="D408" s="102" t="n">
        <x:v>17871</x:v>
      </x:c>
      <x:c r="E408" s="102" t="n">
        <x:f>1+COUNTIFS($C$4:$C$802,C408,$D$4:$D$802,"&gt;"&amp;D408)</x:f>
        <x:v>28</x:v>
      </x:c>
      <x:c r="F408" s="102" t="n">
        <x:v>1770254</x:v>
      </x:c>
      <x:c r="G408" s="126" t="n">
        <x:f>D408/F408*10000</x:f>
        <x:v>100.9516148530098</x:v>
      </x:c>
      <x:c r="H408" s="127" t="n">
        <x:f>1+COUNTIFS($C$4:$C$802,C408,$G$4:$G$802,"&gt;"&amp;G408)</x:f>
        <x:v>45</x:v>
      </x:c>
      <x:c r="I408" s="128" t="n">
        <x:f>D408/SUMIF($C$4:$C$802,C408,$D$4:$D$802)</x:f>
        <x:v>0.00916116702738559</x:v>
      </x:c>
      <x:c r="J408" s="103" t="n">
        <x:f>(D408/SUMIF($A$4:$A$802,A408,$D$4:$D$802))/(SUMIF($C$4:$C$802,C408,$D$4:$D$802)/SUM($D$4:$D$802))</x:f>
        <x:v>0.6651883911447489</x:v>
      </x:c>
    </x:row>
    <x:row r="409">
      <x:c r="A409" s="101" t="str">
        <x:v>三重県</x:v>
      </x:c>
      <x:c r="B409" s="101" t="str">
        <x:v>P</x:v>
      </x:c>
      <x:c r="C409" s="101" t="str">
        <x:v>医療，福祉</x:v>
      </x:c>
      <x:c r="D409" s="102" t="n">
        <x:v>107481</x:v>
      </x:c>
      <x:c r="E409" s="102" t="n">
        <x:f>1+COUNTIFS($C$4:$C$802,C409,$D$4:$D$802,"&gt;"&amp;D409)</x:f>
        <x:v>26</x:v>
      </x:c>
      <x:c r="F409" s="102" t="n">
        <x:v>1770254</x:v>
      </x:c>
      <x:c r="G409" s="126" t="n">
        <x:f>D409/F409*10000</x:f>
        <x:v>607.1501603724663</x:v>
      </x:c>
      <x:c r="H409" s="127" t="n">
        <x:f>1+COUNTIFS($C$4:$C$802,C409,$G$4:$G$802,"&gt;"&amp;G409)</x:f>
        <x:v>34</x:v>
      </x:c>
      <x:c r="I409" s="128" t="n">
        <x:f>D409/SUMIF($C$4:$C$802,C409,$D$4:$D$802)</x:f>
        <x:v>0.013167821515196881</x:v>
      </x:c>
      <x:c r="J409" s="103" t="n">
        <x:f>(D409/SUMIF($A$4:$A$802,A409,$D$4:$D$802))/(SUMIF($C$4:$C$802,C409,$D$4:$D$802)/SUM($D$4:$D$802))</x:f>
        <x:v>0.9561098474016896</x:v>
      </x:c>
    </x:row>
    <x:row r="410">
      <x:c r="A410" s="101" t="str">
        <x:v>三重県</x:v>
      </x:c>
      <x:c r="B410" s="101" t="str">
        <x:v>Q</x:v>
      </x:c>
      <x:c r="C410" s="101" t="str">
        <x:v>複合サービス事業</x:v>
      </x:c>
      <x:c r="D410" s="102" t="n">
        <x:v>7999</x:v>
      </x:c>
      <x:c r="E410" s="102" t="n">
        <x:f>1+COUNTIFS($C$4:$C$802,C410,$D$4:$D$802,"&gt;"&amp;D410)</x:f>
        <x:v>20</x:v>
      </x:c>
      <x:c r="F410" s="102" t="n">
        <x:v>1770254</x:v>
      </x:c>
      <x:c r="G410" s="126" t="n">
        <x:f>D410/F410*10000</x:f>
        <x:v>45.18560613335713</x:v>
      </x:c>
      <x:c r="H410" s="127" t="n">
        <x:f>1+COUNTIFS($C$4:$C$802,C410,$G$4:$G$802,"&gt;"&amp;G410)</x:f>
        <x:v>19</x:v>
      </x:c>
      <x:c r="I410" s="128" t="n">
        <x:f>D410/SUMIF($C$4:$C$802,C410,$D$4:$D$802)</x:f>
        <x:v>0.01834759272427002</x:v>
      </x:c>
      <x:c r="J410" s="103" t="n">
        <x:f>(D410/SUMIF($A$4:$A$802,A410,$D$4:$D$802))/(SUMIF($C$4:$C$802,C410,$D$4:$D$802)/SUM($D$4:$D$802))</x:f>
        <x:v>1.3322108034001452</x:v>
      </x:c>
    </x:row>
    <x:row r="411">
      <x:c r="A411" s="101" t="str">
        <x:v>三重県</x:v>
      </x:c>
      <x:c r="B411" s="101" t="str">
        <x:v>R</x:v>
      </x:c>
      <x:c r="C411" s="101" t="str">
        <x:v>サービス業（他に分類されないもの）</x:v>
      </x:c>
      <x:c r="D411" s="102" t="n">
        <x:v>63065</x:v>
      </x:c>
      <x:c r="E411" s="102" t="n">
        <x:f>1+COUNTIFS($C$4:$C$802,C411,$D$4:$D$802,"&gt;"&amp;D411)</x:f>
        <x:v>22</x:v>
      </x:c>
      <x:c r="F411" s="102" t="n">
        <x:v>1770254</x:v>
      </x:c>
      <x:c r="G411" s="126" t="n">
        <x:f>D411/F411*10000</x:f>
        <x:v>356.2483123890696</x:v>
      </x:c>
      <x:c r="H411" s="127" t="n">
        <x:f>1+COUNTIFS($C$4:$C$802,C411,$G$4:$G$802,"&gt;"&amp;G411)</x:f>
        <x:v>16</x:v>
      </x:c>
      <x:c r="I411" s="128" t="n">
        <x:f>D411/SUMIF($C$4:$C$802,C411,$D$4:$D$802)</x:f>
        <x:v>0.012048326273222377</x:v>
      </x:c>
      <x:c r="J411" s="103" t="n">
        <x:f>(D411/SUMIF($A$4:$A$802,A411,$D$4:$D$802))/(SUMIF($C$4:$C$802,C411,$D$4:$D$802)/SUM($D$4:$D$802))</x:f>
        <x:v>0.874823780170609</x:v>
      </x:c>
    </x:row>
    <x:row r="412">
      <x:c r="A412" s="101" t="str">
        <x:v>滋賀県</x:v>
      </x:c>
      <x:c r="B412" s="101" t="str">
        <x:v>AB</x:v>
      </x:c>
      <x:c r="C412" s="101" t="str">
        <x:v>農林漁業</x:v>
      </x:c>
      <x:c r="D412" s="102" t="n">
        <x:v>9496</x:v>
      </x:c>
      <x:c r="E412" s="102" t="n">
        <x:f>1+COUNTIFS($C$4:$C$802,C412,$D$4:$D$802,"&gt;"&amp;D412)</x:f>
        <x:v>21</x:v>
      </x:c>
      <x:c r="F412" s="102" t="n">
        <x:v>1413610</x:v>
      </x:c>
      <x:c r="G412" s="126" t="n">
        <x:f>D412/F412*10000</x:f>
        <x:v>67.17552931855322</x:v>
      </x:c>
      <x:c r="H412" s="127" t="n">
        <x:f>1+COUNTIFS($C$4:$C$802,C412,$G$4:$G$802,"&gt;"&amp;G412)</x:f>
        <x:v>19</x:v>
      </x:c>
      <x:c r="I412" s="128" t="n">
        <x:f>D412/SUMIF($C$4:$C$802,C412,$D$4:$D$802)</x:f>
        <x:v>0.020929991646517657</x:v>
      </x:c>
      <x:c r="J412" s="103" t="n">
        <x:f>(D412/SUMIF($A$4:$A$802,A412,$D$4:$D$802))/(SUMIF($C$4:$C$802,C412,$D$4:$D$802)/SUM($D$4:$D$802))</x:f>
        <x:v>1.9631599137401279</x:v>
      </x:c>
    </x:row>
    <x:row r="413">
      <x:c r="A413" s="101" t="str">
        <x:v>滋賀県</x:v>
      </x:c>
      <x:c r="B413" s="101" t="str">
        <x:v>C</x:v>
      </x:c>
      <x:c r="C413" s="101" t="str">
        <x:v>鉱業，採石業，砂利採取業</x:v>
      </x:c>
      <x:c r="D413" s="102" t="n">
        <x:v>137</x:v>
      </x:c>
      <x:c r="E413" s="102" t="n">
        <x:f>1+COUNTIFS($C$4:$C$802,C413,$D$4:$D$802,"&gt;"&amp;D413)</x:f>
        <x:v>40</x:v>
      </x:c>
      <x:c r="F413" s="102" t="n">
        <x:v>1413610</x:v>
      </x:c>
      <x:c r="G413" s="126" t="n">
        <x:f>D413/F413*10000</x:f>
        <x:v>0.9691499069757571</x:v>
      </x:c>
      <x:c r="H413" s="127" t="n">
        <x:f>1+COUNTIFS($C$4:$C$802,C413,$G$4:$G$802,"&gt;"&amp;G413)</x:f>
        <x:v>37</x:v>
      </x:c>
      <x:c r="I413" s="128" t="n">
        <x:f>D413/SUMIF($C$4:$C$802,C413,$D$4:$D$802)</x:f>
        <x:v>0.006955373914809362</x:v>
      </x:c>
      <x:c r="J413" s="103" t="n">
        <x:f>(D413/SUMIF($A$4:$A$802,A413,$D$4:$D$802))/(SUMIF($C$4:$C$802,C413,$D$4:$D$802)/SUM($D$4:$D$802))</x:f>
        <x:v>0.6523897135381479</x:v>
      </x:c>
    </x:row>
    <x:row r="414">
      <x:c r="A414" s="101" t="str">
        <x:v>滋賀県</x:v>
      </x:c>
      <x:c r="B414" s="101" t="str">
        <x:v>D</x:v>
      </x:c>
      <x:c r="C414" s="101" t="str">
        <x:v>建設業</x:v>
      </x:c>
      <x:c r="D414" s="102" t="n">
        <x:v>30556</x:v>
      </x:c>
      <x:c r="E414" s="102" t="n">
        <x:f>1+COUNTIFS($C$4:$C$802,C414,$D$4:$D$802,"&gt;"&amp;D414)</x:f>
        <x:v>39</x:v>
      </x:c>
      <x:c r="F414" s="102" t="n">
        <x:v>1413610</x:v>
      </x:c>
      <x:c r="G414" s="126" t="n">
        <x:f>D414/F414*10000</x:f>
        <x:v>216.155799690155</x:v>
      </x:c>
      <x:c r="H414" s="127" t="n">
        <x:f>1+COUNTIFS($C$4:$C$802,C414,$G$4:$G$802,"&gt;"&amp;G414)</x:f>
        <x:v>44</x:v>
      </x:c>
      <x:c r="I414" s="128" t="n">
        <x:f>D414/SUMIF($C$4:$C$802,C414,$D$4:$D$802)</x:f>
        <x:v>0.008175704330399488</x:v>
      </x:c>
      <x:c r="J414" s="103" t="n">
        <x:f>(D414/SUMIF($A$4:$A$802,A414,$D$4:$D$802))/(SUMIF($C$4:$C$802,C414,$D$4:$D$802)/SUM($D$4:$D$802))</x:f>
        <x:v>0.7668524325809891</x:v>
      </x:c>
    </x:row>
    <x:row r="415">
      <x:c r="A415" s="101" t="str">
        <x:v>滋賀県</x:v>
      </x:c>
      <x:c r="B415" s="101" t="str">
        <x:v>E</x:v>
      </x:c>
      <x:c r="C415" s="101" t="str">
        <x:v>製造業</x:v>
      </x:c>
      <x:c r="D415" s="102" t="n">
        <x:v>165973</x:v>
      </x:c>
      <x:c r="E415" s="102" t="n">
        <x:f>1+COUNTIFS($C$4:$C$802,C415,$D$4:$D$802,"&gt;"&amp;D415)</x:f>
        <x:v>20</x:v>
      </x:c>
      <x:c r="F415" s="102" t="n">
        <x:v>1413610</x:v>
      </x:c>
      <x:c r="G415" s="126" t="n">
        <x:f>D415/F415*10000</x:f>
        <x:v>1174.1074270838492</x:v>
      </x:c>
      <x:c r="H415" s="127" t="n">
        <x:f>1+COUNTIFS($C$4:$C$802,C415,$G$4:$G$802,"&gt;"&amp;G415)</x:f>
        <x:v>5</x:v>
      </x:c>
      <x:c r="I415" s="128" t="n">
        <x:f>D415/SUMIF($C$4:$C$802,C415,$D$4:$D$802)</x:f>
        <x:v>0.018852763566173686</x:v>
      </x:c>
      <x:c r="J415" s="103" t="n">
        <x:f>(D415/SUMIF($A$4:$A$802,A415,$D$4:$D$802))/(SUMIF($C$4:$C$802,C415,$D$4:$D$802)/SUM($D$4:$D$802))</x:f>
        <x:v>1.7683231948394236</x:v>
      </x:c>
    </x:row>
    <x:row r="416">
      <x:c r="A416" s="101" t="str">
        <x:v>滋賀県</x:v>
      </x:c>
      <x:c r="B416" s="101" t="str">
        <x:v>F</x:v>
      </x:c>
      <x:c r="C416" s="101" t="str">
        <x:v>電気・ガス・熱供給・水道業</x:v>
      </x:c>
      <x:c r="D416" s="102" t="n">
        <x:v>1138</x:v>
      </x:c>
      <x:c r="E416" s="102" t="n">
        <x:f>1+COUNTIFS($C$4:$C$802,C416,$D$4:$D$802,"&gt;"&amp;D416)</x:f>
        <x:v>42</x:v>
      </x:c>
      <x:c r="F416" s="102" t="n">
        <x:v>1413610</x:v>
      </x:c>
      <x:c r="G416" s="126" t="n">
        <x:f>D416/F416*10000</x:f>
        <x:v>8.050310906119792</x:v>
      </x:c>
      <x:c r="H416" s="127" t="n">
        <x:f>1+COUNTIFS($C$4:$C$802,C416,$G$4:$G$802,"&gt;"&amp;G416)</x:f>
        <x:v>45</x:v>
      </x:c>
      <x:c r="I416" s="128" t="n">
        <x:f>D416/SUMIF($C$4:$C$802,C416,$D$4:$D$802)</x:f>
        <x:v>0.005629510905322312</x:v>
      </x:c>
      <x:c r="J416" s="103" t="n">
        <x:f>(D416/SUMIF($A$4:$A$802,A416,$D$4:$D$802))/(SUMIF($C$4:$C$802,C416,$D$4:$D$802)/SUM($D$4:$D$802))</x:f>
        <x:v>0.5280284067925289</x:v>
      </x:c>
    </x:row>
    <x:row r="417">
      <x:c r="A417" s="101" t="str">
        <x:v>滋賀県</x:v>
      </x:c>
      <x:c r="B417" s="101" t="str">
        <x:v>G</x:v>
      </x:c>
      <x:c r="C417" s="101" t="str">
        <x:v>情報通信業</x:v>
      </x:c>
      <x:c r="D417" s="102" t="n">
        <x:v>3748</x:v>
      </x:c>
      <x:c r="E417" s="102" t="n">
        <x:f>1+COUNTIFS($C$4:$C$802,C417,$D$4:$D$802,"&gt;"&amp;D417)</x:f>
        <x:v>38</x:v>
      </x:c>
      <x:c r="F417" s="102" t="n">
        <x:v>1413610</x:v>
      </x:c>
      <x:c r="G417" s="126" t="n">
        <x:f>D417/F417*10000</x:f>
        <x:v>26.513677747044802</x:v>
      </x:c>
      <x:c r="H417" s="127" t="n">
        <x:f>1+COUNTIFS($C$4:$C$802,C417,$G$4:$G$802,"&gt;"&amp;G417)</x:f>
        <x:v>46</x:v>
      </x:c>
      <x:c r="I417" s="128" t="n">
        <x:f>D417/SUMIF($C$4:$C$802,C417,$D$4:$D$802)</x:f>
        <x:v>0.0018864135443284534</x:v>
      </x:c>
      <x:c r="J417" s="103" t="n">
        <x:f>(D417/SUMIF($A$4:$A$802,A417,$D$4:$D$802))/(SUMIF($C$4:$C$802,C417,$D$4:$D$802)/SUM($D$4:$D$802))</x:f>
        <x:v>0.1769389837084917</x:v>
      </x:c>
    </x:row>
    <x:row r="418">
      <x:c r="A418" s="101" t="str">
        <x:v>滋賀県</x:v>
      </x:c>
      <x:c r="B418" s="101" t="str">
        <x:v>H</x:v>
      </x:c>
      <x:c r="C418" s="101" t="str">
        <x:v>運輸業，郵便業</x:v>
      </x:c>
      <x:c r="D418" s="102" t="n">
        <x:v>29308</x:v>
      </x:c>
      <x:c r="E418" s="102" t="n">
        <x:f>1+COUNTIFS($C$4:$C$802,C418,$D$4:$D$802,"&gt;"&amp;D418)</x:f>
        <x:v>28</x:v>
      </x:c>
      <x:c r="F418" s="102" t="n">
        <x:v>1413610</x:v>
      </x:c>
      <x:c r="G418" s="126" t="n">
        <x:f>D418/F418*10000</x:f>
        <x:v>207.3273392236897</x:v>
      </x:c>
      <x:c r="H418" s="127" t="n">
        <x:f>1+COUNTIFS($C$4:$C$802,C418,$G$4:$G$802,"&gt;"&amp;G418)</x:f>
        <x:v>32</x:v>
      </x:c>
      <x:c r="I418" s="128" t="n">
        <x:f>D418/SUMIF($C$4:$C$802,C418,$D$4:$D$802)</x:f>
        <x:v>0.008977147908527923</x:v>
      </x:c>
      <x:c r="J418" s="103" t="n">
        <x:f>(D418/SUMIF($A$4:$A$802,A418,$D$4:$D$802))/(SUMIF($C$4:$C$802,C418,$D$4:$D$802)/SUM($D$4:$D$802))</x:f>
        <x:v>0.8420250333291589</x:v>
      </x:c>
    </x:row>
    <x:row r="419">
      <x:c r="A419" s="101" t="str">
        <x:v>滋賀県</x:v>
      </x:c>
      <x:c r="B419" s="101" t="str">
        <x:v>I</x:v>
      </x:c>
      <x:c r="C419" s="101" t="str">
        <x:v>卸売業，小売業</x:v>
      </x:c>
      <x:c r="D419" s="102" t="n">
        <x:v>110072</x:v>
      </x:c>
      <x:c r="E419" s="102" t="n">
        <x:f>1+COUNTIFS($C$4:$C$802,C419,$D$4:$D$802,"&gt;"&amp;D419)</x:f>
        <x:v>29</x:v>
      </x:c>
      <x:c r="F419" s="102" t="n">
        <x:v>1413610</x:v>
      </x:c>
      <x:c r="G419" s="126" t="n">
        <x:f>D419/F419*10000</x:f>
        <x:v>778.6588946031792</x:v>
      </x:c>
      <x:c r="H419" s="127" t="n">
        <x:f>1+COUNTIFS($C$4:$C$802,C419,$G$4:$G$802,"&gt;"&amp;G419)</x:f>
        <x:v>43</x:v>
      </x:c>
      <x:c r="I419" s="128" t="n">
        <x:f>D419/SUMIF($C$4:$C$802,C419,$D$4:$D$802)</x:f>
        <x:v>0.009479221531246673</x:v>
      </x:c>
      <x:c r="J419" s="103" t="n">
        <x:f>(D419/SUMIF($A$4:$A$802,A419,$D$4:$D$802))/(SUMIF($C$4:$C$802,C419,$D$4:$D$802)/SUM($D$4:$D$802))</x:f>
        <x:v>0.8891177807374804</x:v>
      </x:c>
    </x:row>
    <x:row r="420">
      <x:c r="A420" s="101" t="str">
        <x:v>滋賀県</x:v>
      </x:c>
      <x:c r="B420" s="101" t="str">
        <x:v>J</x:v>
      </x:c>
      <x:c r="C420" s="101" t="str">
        <x:v>金融業，保険業</x:v>
      </x:c>
      <x:c r="D420" s="102" t="n">
        <x:v>12248</x:v>
      </x:c>
      <x:c r="E420" s="102" t="n">
        <x:f>1+COUNTIFS($C$4:$C$802,C420,$D$4:$D$802,"&gt;"&amp;D420)</x:f>
        <x:v>29</x:v>
      </x:c>
      <x:c r="F420" s="102" t="n">
        <x:v>1413610</x:v>
      </x:c>
      <x:c r="G420" s="126" t="n">
        <x:f>D420/F420*10000</x:f>
        <x:v>86.64341650101514</x:v>
      </x:c>
      <x:c r="H420" s="127" t="n">
        <x:f>1+COUNTIFS($C$4:$C$802,C420,$G$4:$G$802,"&gt;"&amp;G420)</x:f>
        <x:v>38</x:v>
      </x:c>
      <x:c r="I420" s="128" t="n">
        <x:f>D420/SUMIF($C$4:$C$802,C420,$D$4:$D$802)</x:f>
        <x:v>0.00819573404280946</x:v>
      </x:c>
      <x:c r="J420" s="103" t="n">
        <x:f>(D420/SUMIF($A$4:$A$802,A420,$D$4:$D$802))/(SUMIF($C$4:$C$802,C420,$D$4:$D$802)/SUM($D$4:$D$802))</x:f>
        <x:v>0.7687311494553719</x:v>
      </x:c>
    </x:row>
    <x:row r="421">
      <x:c r="A421" s="101" t="str">
        <x:v>滋賀県</x:v>
      </x:c>
      <x:c r="B421" s="101" t="str">
        <x:v>K</x:v>
      </x:c>
      <x:c r="C421" s="101" t="str">
        <x:v>不動産業，物品賃貸業</x:v>
      </x:c>
      <x:c r="D421" s="102" t="n">
        <x:v>11222</x:v>
      </x:c>
      <x:c r="E421" s="102" t="n">
        <x:f>1+COUNTIFS($C$4:$C$802,C421,$D$4:$D$802,"&gt;"&amp;D421)</x:f>
        <x:v>29</x:v>
      </x:c>
      <x:c r="F421" s="102" t="n">
        <x:v>1413610</x:v>
      </x:c>
      <x:c r="G421" s="126" t="n">
        <x:f>D421/F421*10000</x:f>
        <x:v>79.3854033290653</x:v>
      </x:c>
      <x:c r="H421" s="127" t="n">
        <x:f>1+COUNTIFS($C$4:$C$802,C421,$G$4:$G$802,"&gt;"&amp;G421)</x:f>
        <x:v>36</x:v>
      </x:c>
      <x:c r="I421" s="128" t="n">
        <x:f>D421/SUMIF($C$4:$C$802,C421,$D$4:$D$802)</x:f>
        <x:v>0.006935131614238093</x:v>
      </x:c>
      <x:c r="J421" s="103" t="n">
        <x:f>(D421/SUMIF($A$4:$A$802,A421,$D$4:$D$802))/(SUMIF($C$4:$C$802,C421,$D$4:$D$802)/SUM($D$4:$D$802))</x:f>
        <x:v>0.650491056638779</x:v>
      </x:c>
    </x:row>
    <x:row r="422">
      <x:c r="A422" s="101" t="str">
        <x:v>滋賀県</x:v>
      </x:c>
      <x:c r="B422" s="101" t="str">
        <x:v>L</x:v>
      </x:c>
      <x:c r="C422" s="101" t="str">
        <x:v>学術研究，専門・技術サービス業</x:v>
      </x:c>
      <x:c r="D422" s="102" t="n">
        <x:v>13977</x:v>
      </x:c>
      <x:c r="E422" s="102" t="n">
        <x:f>1+COUNTIFS($C$4:$C$802,C422,$D$4:$D$802,"&gt;"&amp;D422)</x:f>
        <x:v>29</x:v>
      </x:c>
      <x:c r="F422" s="102" t="n">
        <x:v>1413610</x:v>
      </x:c>
      <x:c r="G422" s="126" t="n">
        <x:f>D422/F422*10000</x:f>
        <x:v>98.87451277226391</x:v>
      </x:c>
      <x:c r="H422" s="127" t="n">
        <x:f>1+COUNTIFS($C$4:$C$802,C422,$G$4:$G$802,"&gt;"&amp;G422)</x:f>
        <x:v>32</x:v>
      </x:c>
      <x:c r="I422" s="128" t="n">
        <x:f>D422/SUMIF($C$4:$C$802,C422,$D$4:$D$802)</x:f>
        <x:v>0.006596284899854643</x:v>
      </x:c>
      <x:c r="J422" s="103" t="n">
        <x:f>(D422/SUMIF($A$4:$A$802,A422,$D$4:$D$802))/(SUMIF($C$4:$C$802,C422,$D$4:$D$802)/SUM($D$4:$D$802))</x:f>
        <x:v>0.6187084215658779</x:v>
      </x:c>
    </x:row>
    <x:row r="423">
      <x:c r="A423" s="101" t="str">
        <x:v>滋賀県</x:v>
      </x:c>
      <x:c r="B423" s="101" t="str">
        <x:v>M</x:v>
      </x:c>
      <x:c r="C423" s="101" t="str">
        <x:v>宿泊業，飲食サービス業</x:v>
      </x:c>
      <x:c r="D423" s="102" t="n">
        <x:v>48564</x:v>
      </x:c>
      <x:c r="E423" s="102" t="n">
        <x:f>1+COUNTIFS($C$4:$C$802,C423,$D$4:$D$802,"&gt;"&amp;D423)</x:f>
        <x:v>26</x:v>
      </x:c>
      <x:c r="F423" s="102" t="n">
        <x:v>1413610</x:v>
      </x:c>
      <x:c r="G423" s="126" t="n">
        <x:f>D423/F423*10000</x:f>
        <x:v>343.54595680562534</x:v>
      </x:c>
      <x:c r="H423" s="127" t="n">
        <x:f>1+COUNTIFS($C$4:$C$802,C423,$G$4:$G$802,"&gt;"&amp;G423)</x:f>
        <x:v>24</x:v>
      </x:c>
      <x:c r="I423" s="128" t="n">
        <x:f>D423/SUMIF($C$4:$C$802,C423,$D$4:$D$802)</x:f>
        <x:v>0.010379719834767445</x:v>
      </x:c>
      <x:c r="J423" s="103" t="n">
        <x:f>(D423/SUMIF($A$4:$A$802,A423,$D$4:$D$802))/(SUMIF($C$4:$C$802,C423,$D$4:$D$802)/SUM($D$4:$D$802))</x:f>
        <x:v>0.9735813678100105</x:v>
      </x:c>
    </x:row>
    <x:row r="424">
      <x:c r="A424" s="101" t="str">
        <x:v>滋賀県</x:v>
      </x:c>
      <x:c r="B424" s="101" t="str">
        <x:v>N</x:v>
      </x:c>
      <x:c r="C424" s="101" t="str">
        <x:v>生活関連サービス業，娯楽業</x:v>
      </x:c>
      <x:c r="D424" s="102" t="n">
        <x:v>21722</x:v>
      </x:c>
      <x:c r="E424" s="102" t="n">
        <x:f>1+COUNTIFS($C$4:$C$802,C424,$D$4:$D$802,"&gt;"&amp;D424)</x:f>
        <x:v>26</x:v>
      </x:c>
      <x:c r="F424" s="102" t="n">
        <x:v>1413610</x:v>
      </x:c>
      <x:c r="G424" s="126" t="n">
        <x:f>D424/F424*10000</x:f>
        <x:v>153.66331590749922</x:v>
      </x:c>
      <x:c r="H424" s="127" t="n">
        <x:f>1+COUNTIFS($C$4:$C$802,C424,$G$4:$G$802,"&gt;"&amp;G424)</x:f>
        <x:v>43</x:v>
      </x:c>
      <x:c r="I424" s="128" t="n">
        <x:f>D424/SUMIF($C$4:$C$802,C424,$D$4:$D$802)</x:f>
        <x:v>0.009981899134200526</x:v>
      </x:c>
      <x:c r="J424" s="103" t="n">
        <x:f>(D424/SUMIF($A$4:$A$802,A424,$D$4:$D$802))/(SUMIF($C$4:$C$802,C424,$D$4:$D$802)/SUM($D$4:$D$802))</x:f>
        <x:v>0.9362671793765462</x:v>
      </x:c>
    </x:row>
    <x:row r="425">
      <x:c r="A425" s="101" t="str">
        <x:v>滋賀県</x:v>
      </x:c>
      <x:c r="B425" s="101" t="str">
        <x:v>O</x:v>
      </x:c>
      <x:c r="C425" s="101" t="str">
        <x:v>教育，学習支援業</x:v>
      </x:c>
      <x:c r="D425" s="102" t="n">
        <x:v>23322</x:v>
      </x:c>
      <x:c r="E425" s="102" t="n">
        <x:f>1+COUNTIFS($C$4:$C$802,C425,$D$4:$D$802,"&gt;"&amp;D425)</x:f>
        <x:v>21</x:v>
      </x:c>
      <x:c r="F425" s="102" t="n">
        <x:v>1413610</x:v>
      </x:c>
      <x:c r="G425" s="126" t="n">
        <x:f>D425/F425*10000</x:f>
        <x:v>164.98185496707012</x:v>
      </x:c>
      <x:c r="H425" s="127" t="n">
        <x:f>1+COUNTIFS($C$4:$C$802,C425,$G$4:$G$802,"&gt;"&amp;G425)</x:f>
        <x:v>6</x:v>
      </x:c>
      <x:c r="I425" s="128" t="n">
        <x:f>D425/SUMIF($C$4:$C$802,C425,$D$4:$D$802)</x:f>
        <x:v>0.011955499827244514</x:v>
      </x:c>
      <x:c r="J425" s="103" t="n">
        <x:f>(D425/SUMIF($A$4:$A$802,A425,$D$4:$D$802))/(SUMIF($C$4:$C$802,C425,$D$4:$D$802)/SUM($D$4:$D$802))</x:f>
        <x:v>1.1213840122806975</x:v>
      </x:c>
    </x:row>
    <x:row r="426">
      <x:c r="A426" s="101" t="str">
        <x:v>滋賀県</x:v>
      </x:c>
      <x:c r="B426" s="101" t="str">
        <x:v>P</x:v>
      </x:c>
      <x:c r="C426" s="101" t="str">
        <x:v>医療，福祉</x:v>
      </x:c>
      <x:c r="D426" s="102" t="n">
        <x:v>80398</x:v>
      </x:c>
      <x:c r="E426" s="102" t="n">
        <x:f>1+COUNTIFS($C$4:$C$802,C426,$D$4:$D$802,"&gt;"&amp;D426)</x:f>
        <x:v>32</x:v>
      </x:c>
      <x:c r="F426" s="102" t="n">
        <x:v>1413610</x:v>
      </x:c>
      <x:c r="G426" s="126" t="n">
        <x:f>D426/F426*10000</x:f>
        <x:v>568.7424395696125</x:v>
      </x:c>
      <x:c r="H426" s="127" t="n">
        <x:f>1+COUNTIFS($C$4:$C$802,C426,$G$4:$G$802,"&gt;"&amp;G426)</x:f>
        <x:v>42</x:v>
      </x:c>
      <x:c r="I426" s="128" t="n">
        <x:f>D426/SUMIF($C$4:$C$802,C426,$D$4:$D$802)</x:f>
        <x:v>0.009849801492159534</x:v>
      </x:c>
      <x:c r="J426" s="103" t="n">
        <x:f>(D426/SUMIF($A$4:$A$802,A426,$D$4:$D$802))/(SUMIF($C$4:$C$802,C426,$D$4:$D$802)/SUM($D$4:$D$802))</x:f>
        <x:v>0.9238768831961073</x:v>
      </x:c>
    </x:row>
    <x:row r="427">
      <x:c r="A427" s="101" t="str">
        <x:v>滋賀県</x:v>
      </x:c>
      <x:c r="B427" s="101" t="str">
        <x:v>Q</x:v>
      </x:c>
      <x:c r="C427" s="101" t="str">
        <x:v>複合サービス事業</x:v>
      </x:c>
      <x:c r="D427" s="102" t="n">
        <x:v>5146</x:v>
      </x:c>
      <x:c r="E427" s="102" t="n">
        <x:f>1+COUNTIFS($C$4:$C$802,C427,$D$4:$D$802,"&gt;"&amp;D427)</x:f>
        <x:v>34</x:v>
      </x:c>
      <x:c r="F427" s="102" t="n">
        <x:v>1413610</x:v>
      </x:c>
      <x:c r="G427" s="126" t="n">
        <x:f>D427/F427*10000</x:f>
        <x:v>36.40325125034486</x:v>
      </x:c>
      <x:c r="H427" s="127" t="n">
        <x:f>1+COUNTIFS($C$4:$C$802,C427,$G$4:$G$802,"&gt;"&amp;G427)</x:f>
        <x:v>34</x:v>
      </x:c>
      <x:c r="I427" s="128" t="n">
        <x:f>D427/SUMIF($C$4:$C$802,C427,$D$4:$D$802)</x:f>
        <x:v>0.011803564465444871</x:v>
      </x:c>
      <x:c r="J427" s="103" t="n">
        <x:f>(D427/SUMIF($A$4:$A$802,A427,$D$4:$D$802))/(SUMIF($C$4:$C$802,C427,$D$4:$D$802)/SUM($D$4:$D$802))</x:f>
        <x:v>1.1071330074641577</x:v>
      </x:c>
    </x:row>
    <x:row r="428">
      <x:c r="A428" s="101" t="str">
        <x:v>滋賀県</x:v>
      </x:c>
      <x:c r="B428" s="101" t="str">
        <x:v>R</x:v>
      </x:c>
      <x:c r="C428" s="101" t="str">
        <x:v>サービス業（他に分類されないもの）</x:v>
      </x:c>
      <x:c r="D428" s="102" t="n">
        <x:v>50799</x:v>
      </x:c>
      <x:c r="E428" s="102" t="n">
        <x:f>1+COUNTIFS($C$4:$C$802,C428,$D$4:$D$802,"&gt;"&amp;D428)</x:f>
        <x:v>25</x:v>
      </x:c>
      <x:c r="F428" s="102" t="n">
        <x:v>1413610</x:v>
      </x:c>
      <x:c r="G428" s="126" t="n">
        <x:f>D428/F428*10000</x:f>
        <x:v>359.3565410544634</x:v>
      </x:c>
      <x:c r="H428" s="127" t="n">
        <x:f>1+COUNTIFS($C$4:$C$802,C428,$G$4:$G$802,"&gt;"&amp;G428)</x:f>
        <x:v>13</x:v>
      </x:c>
      <x:c r="I428" s="128" t="n">
        <x:f>D428/SUMIF($C$4:$C$802,C428,$D$4:$D$802)</x:f>
        <x:v>0.009704954037158861</x:v>
      </x:c>
      <x:c r="J428" s="103" t="n">
        <x:f>(D428/SUMIF($A$4:$A$802,A428,$D$4:$D$802))/(SUMIF($C$4:$C$802,C428,$D$4:$D$802)/SUM($D$4:$D$802))</x:f>
        <x:v>0.9102906992134723</x:v>
      </x:c>
    </x:row>
    <x:row r="429">
      <x:c r="A429" s="101" t="str">
        <x:v>京都府</x:v>
      </x:c>
      <x:c r="B429" s="101" t="str">
        <x:v>AB</x:v>
      </x:c>
      <x:c r="C429" s="101" t="str">
        <x:v>農林漁業</x:v>
      </x:c>
      <x:c r="D429" s="102" t="n">
        <x:v>6251</x:v>
      </x:c>
      <x:c r="E429" s="102" t="n">
        <x:f>1+COUNTIFS($C$4:$C$802,C429,$D$4:$D$802,"&gt;"&amp;D429)</x:f>
        <x:v>35</x:v>
      </x:c>
      <x:c r="F429" s="102" t="n">
        <x:v>2578087</x:v>
      </x:c>
      <x:c r="G429" s="126" t="n">
        <x:f>D429/F429*10000</x:f>
        <x:v>24.24666041138255</x:v>
      </x:c>
      <x:c r="H429" s="127" t="n">
        <x:f>1+COUNTIFS($C$4:$C$802,C429,$G$4:$G$802,"&gt;"&amp;G429)</x:f>
        <x:v>38</x:v>
      </x:c>
      <x:c r="I429" s="128" t="n">
        <x:f>D429/SUMIF($C$4:$C$802,C429,$D$4:$D$802)</x:f>
        <x:v>0.013777735655263466</x:v>
      </x:c>
      <x:c r="J429" s="103" t="n">
        <x:f>(D429/SUMIF($A$4:$A$802,A429,$D$4:$D$802))/(SUMIF($C$4:$C$802,C429,$D$4:$D$802)/SUM($D$4:$D$802))</x:f>
        <x:v>0.6948994404684083</x:v>
      </x:c>
    </x:row>
    <x:row r="430">
      <x:c r="A430" s="101" t="str">
        <x:v>京都府</x:v>
      </x:c>
      <x:c r="B430" s="101" t="str">
        <x:v>C</x:v>
      </x:c>
      <x:c r="C430" s="101" t="str">
        <x:v>鉱業，採石業，砂利採取業</x:v>
      </x:c>
      <x:c r="D430" s="102" t="n">
        <x:v>157</x:v>
      </x:c>
      <x:c r="E430" s="102" t="n">
        <x:f>1+COUNTIFS($C$4:$C$802,C430,$D$4:$D$802,"&gt;"&amp;D430)</x:f>
        <x:v>38</x:v>
      </x:c>
      <x:c r="F430" s="102" t="n">
        <x:v>2578087</x:v>
      </x:c>
      <x:c r="G430" s="126" t="n">
        <x:f>D430/F430*10000</x:f>
        <x:v>0.6089786729462582</x:v>
      </x:c>
      <x:c r="H430" s="127" t="n">
        <x:f>1+COUNTIFS($C$4:$C$802,C430,$G$4:$G$802,"&gt;"&amp;G430)</x:f>
        <x:v>41</x:v>
      </x:c>
      <x:c r="I430" s="128" t="n">
        <x:f>D430/SUMIF($C$4:$C$802,C430,$D$4:$D$802)</x:f>
        <x:v>0.007970756968066203</x:v>
      </x:c>
      <x:c r="J430" s="103" t="n">
        <x:f>(D430/SUMIF($A$4:$A$802,A430,$D$4:$D$802))/(SUMIF($C$4:$C$802,C430,$D$4:$D$802)/SUM($D$4:$D$802))</x:f>
        <x:v>0.40201631790655473</x:v>
      </x:c>
    </x:row>
    <x:row r="431">
      <x:c r="A431" s="101" t="str">
        <x:v>京都府</x:v>
      </x:c>
      <x:c r="B431" s="101" t="str">
        <x:v>D</x:v>
      </x:c>
      <x:c r="C431" s="101" t="str">
        <x:v>建設業</x:v>
      </x:c>
      <x:c r="D431" s="102" t="n">
        <x:v>52159</x:v>
      </x:c>
      <x:c r="E431" s="102" t="n">
        <x:f>1+COUNTIFS($C$4:$C$802,C431,$D$4:$D$802,"&gt;"&amp;D431)</x:f>
        <x:v>22</x:v>
      </x:c>
      <x:c r="F431" s="102" t="n">
        <x:v>2578087</x:v>
      </x:c>
      <x:c r="G431" s="126" t="n">
        <x:f>D431/F431*10000</x:f>
        <x:v>202.3166789949292</x:v>
      </x:c>
      <x:c r="H431" s="127" t="n">
        <x:f>1+COUNTIFS($C$4:$C$802,C431,$G$4:$G$802,"&gt;"&amp;G431)</x:f>
        <x:v>45</x:v>
      </x:c>
      <x:c r="I431" s="128" t="n">
        <x:f>D431/SUMIF($C$4:$C$802,C431,$D$4:$D$802)</x:f>
        <x:v>0.013955902676047483</x:v>
      </x:c>
      <x:c r="J431" s="103" t="n">
        <x:f>(D431/SUMIF($A$4:$A$802,A431,$D$4:$D$802))/(SUMIF($C$4:$C$802,C431,$D$4:$D$802)/SUM($D$4:$D$802))</x:f>
        <x:v>0.7038855442920391</x:v>
      </x:c>
    </x:row>
    <x:row r="432">
      <x:c r="A432" s="101" t="str">
        <x:v>京都府</x:v>
      </x:c>
      <x:c r="B432" s="101" t="str">
        <x:v>E</x:v>
      </x:c>
      <x:c r="C432" s="101" t="str">
        <x:v>製造業</x:v>
      </x:c>
      <x:c r="D432" s="102" t="n">
        <x:v>180810</x:v>
      </x:c>
      <x:c r="E432" s="102" t="n">
        <x:f>1+COUNTIFS($C$4:$C$802,C432,$D$4:$D$802,"&gt;"&amp;D432)</x:f>
        <x:v>19</x:v>
      </x:c>
      <x:c r="F432" s="102" t="n">
        <x:v>2578087</x:v>
      </x:c>
      <x:c r="G432" s="126" t="n">
        <x:f>D432/F432*10000</x:f>
        <x:v>701.3339736013563</x:v>
      </x:c>
      <x:c r="H432" s="127" t="n">
        <x:f>1+COUNTIFS($C$4:$C$802,C432,$G$4:$G$802,"&gt;"&amp;G432)</x:f>
        <x:v>25</x:v>
      </x:c>
      <x:c r="I432" s="128" t="n">
        <x:f>D432/SUMIF($C$4:$C$802,C432,$D$4:$D$802)</x:f>
        <x:v>0.020538088607182276</x:v>
      </x:c>
      <x:c r="J432" s="103" t="n">
        <x:f>(D432/SUMIF($A$4:$A$802,A432,$D$4:$D$802))/(SUMIF($C$4:$C$802,C432,$D$4:$D$802)/SUM($D$4:$D$802))</x:f>
        <x:v>1.0358673325227647</x:v>
      </x:c>
    </x:row>
    <x:row r="433">
      <x:c r="A433" s="101" t="str">
        <x:v>京都府</x:v>
      </x:c>
      <x:c r="B433" s="101" t="str">
        <x:v>F</x:v>
      </x:c>
      <x:c r="C433" s="101" t="str">
        <x:v>電気・ガス・熱供給・水道業</x:v>
      </x:c>
      <x:c r="D433" s="102" t="n">
        <x:v>2287</x:v>
      </x:c>
      <x:c r="E433" s="102" t="n">
        <x:f>1+COUNTIFS($C$4:$C$802,C433,$D$4:$D$802,"&gt;"&amp;D433)</x:f>
        <x:v>24</x:v>
      </x:c>
      <x:c r="F433" s="102" t="n">
        <x:v>2578087</x:v>
      </x:c>
      <x:c r="G433" s="126" t="n">
        <x:f>D433/F433*10000</x:f>
        <x:v>8.870918630752183</x:v>
      </x:c>
      <x:c r="H433" s="127" t="n">
        <x:f>1+COUNTIFS($C$4:$C$802,C433,$G$4:$G$802,"&gt;"&amp;G433)</x:f>
        <x:v>42</x:v>
      </x:c>
      <x:c r="I433" s="128" t="n">
        <x:f>D433/SUMIF($C$4:$C$802,C433,$D$4:$D$802)</x:f>
        <x:v>0.011313437118165313</x:v>
      </x:c>
      <x:c r="J433" s="103" t="n">
        <x:f>(D433/SUMIF($A$4:$A$802,A433,$D$4:$D$802))/(SUMIF($C$4:$C$802,C433,$D$4:$D$802)/SUM($D$4:$D$802))</x:f>
        <x:v>0.5706090840975176</x:v>
      </x:c>
    </x:row>
    <x:row r="434">
      <x:c r="A434" s="101" t="str">
        <x:v>京都府</x:v>
      </x:c>
      <x:c r="B434" s="101" t="str">
        <x:v>G</x:v>
      </x:c>
      <x:c r="C434" s="101" t="str">
        <x:v>情報通信業</x:v>
      </x:c>
      <x:c r="D434" s="102" t="n">
        <x:v>19435</x:v>
      </x:c>
      <x:c r="E434" s="102" t="n">
        <x:f>1+COUNTIFS($C$4:$C$802,C434,$D$4:$D$802,"&gt;"&amp;D434)</x:f>
        <x:v>14</x:v>
      </x:c>
      <x:c r="F434" s="102" t="n">
        <x:v>2578087</x:v>
      </x:c>
      <x:c r="G434" s="126" t="n">
        <x:f>D434/F434*10000</x:f>
        <x:v>75.38535355866578</x:v>
      </x:c>
      <x:c r="H434" s="127" t="n">
        <x:f>1+COUNTIFS($C$4:$C$802,C434,$G$4:$G$802,"&gt;"&amp;G434)</x:f>
        <x:v>11</x:v>
      </x:c>
      <x:c r="I434" s="128" t="n">
        <x:f>D434/SUMIF($C$4:$C$802,C434,$D$4:$D$802)</x:f>
        <x:v>0.009781869592855787</x:v>
      </x:c>
      <x:c r="J434" s="103" t="n">
        <x:f>(D434/SUMIF($A$4:$A$802,A434,$D$4:$D$802))/(SUMIF($C$4:$C$802,C434,$D$4:$D$802)/SUM($D$4:$D$802))</x:f>
        <x:v>0.4933623257761974</x:v>
      </x:c>
    </x:row>
    <x:row r="435">
      <x:c r="A435" s="101" t="str">
        <x:v>京都府</x:v>
      </x:c>
      <x:c r="B435" s="101" t="str">
        <x:v>H</x:v>
      </x:c>
      <x:c r="C435" s="101" t="str">
        <x:v>運輸業，郵便業</x:v>
      </x:c>
      <x:c r="D435" s="102" t="n">
        <x:v>57340</x:v>
      </x:c>
      <x:c r="E435" s="102" t="n">
        <x:f>1+COUNTIFS($C$4:$C$802,C435,$D$4:$D$802,"&gt;"&amp;D435)</x:f>
        <x:v>14</x:v>
      </x:c>
      <x:c r="F435" s="102" t="n">
        <x:v>2578087</x:v>
      </x:c>
      <x:c r="G435" s="126" t="n">
        <x:f>D435/F435*10000</x:f>
        <x:v>222.41297520215574</x:v>
      </x:c>
      <x:c r="H435" s="127" t="n">
        <x:f>1+COUNTIFS($C$4:$C$802,C435,$G$4:$G$802,"&gt;"&amp;G435)</x:f>
        <x:v>28</x:v>
      </x:c>
      <x:c r="I435" s="128" t="n">
        <x:f>D435/SUMIF($C$4:$C$802,C435,$D$4:$D$802)</x:f>
        <x:v>0.01756345233639249</x:v>
      </x:c>
      <x:c r="J435" s="103" t="n">
        <x:f>(D435/SUMIF($A$4:$A$802,A435,$D$4:$D$802))/(SUMIF($C$4:$C$802,C435,$D$4:$D$802)/SUM($D$4:$D$802))</x:f>
        <x:v>0.885837376085099</x:v>
      </x:c>
    </x:row>
    <x:row r="436">
      <x:c r="A436" s="101" t="str">
        <x:v>京都府</x:v>
      </x:c>
      <x:c r="B436" s="101" t="str">
        <x:v>I</x:v>
      </x:c>
      <x:c r="C436" s="101" t="str">
        <x:v>卸売業，小売業</x:v>
      </x:c>
      <x:c r="D436" s="102" t="n">
        <x:v>239889</x:v>
      </x:c>
      <x:c r="E436" s="102" t="n">
        <x:f>1+COUNTIFS($C$4:$C$802,C436,$D$4:$D$802,"&gt;"&amp;D436)</x:f>
        <x:v>12</x:v>
      </x:c>
      <x:c r="F436" s="102" t="n">
        <x:v>2578087</x:v>
      </x:c>
      <x:c r="G436" s="126" t="n">
        <x:f>D436/F436*10000</x:f>
        <x:v>930.4922603465282</x:v>
      </x:c>
      <x:c r="H436" s="127" t="n">
        <x:f>1+COUNTIFS($C$4:$C$802,C436,$G$4:$G$802,"&gt;"&amp;G436)</x:f>
        <x:v>9</x:v>
      </x:c>
      <x:c r="I436" s="128" t="n">
        <x:f>D436/SUMIF($C$4:$C$802,C436,$D$4:$D$802)</x:f>
        <x:v>0.02065885033350201</x:v>
      </x:c>
      <x:c r="J436" s="103" t="n">
        <x:f>(D436/SUMIF($A$4:$A$802,A436,$D$4:$D$802))/(SUMIF($C$4:$C$802,C436,$D$4:$D$802)/SUM($D$4:$D$802))</x:f>
        <x:v>1.0419581197282461</x:v>
      </x:c>
    </x:row>
    <x:row r="437">
      <x:c r="A437" s="101" t="str">
        <x:v>京都府</x:v>
      </x:c>
      <x:c r="B437" s="101" t="str">
        <x:v>J</x:v>
      </x:c>
      <x:c r="C437" s="101" t="str">
        <x:v>金融業，保険業</x:v>
      </x:c>
      <x:c r="D437" s="102" t="n">
        <x:v>26772</x:v>
      </x:c>
      <x:c r="E437" s="102" t="n">
        <x:f>1+COUNTIFS($C$4:$C$802,C437,$D$4:$D$802,"&gt;"&amp;D437)</x:f>
        <x:v>12</x:v>
      </x:c>
      <x:c r="F437" s="102" t="n">
        <x:v>2578087</x:v>
      </x:c>
      <x:c r="G437" s="126" t="n">
        <x:f>D437/F437*10000</x:f>
        <x:v>103.84443969501417</x:v>
      </x:c>
      <x:c r="H437" s="127" t="n">
        <x:f>1+COUNTIFS($C$4:$C$802,C437,$G$4:$G$802,"&gt;"&amp;G437)</x:f>
        <x:v>16</x:v>
      </x:c>
      <x:c r="I437" s="128" t="n">
        <x:f>D437/SUMIF($C$4:$C$802,C437,$D$4:$D$802)</x:f>
        <x:v>0.017914450669014932</x:v>
      </x:c>
      <x:c r="J437" s="103" t="n">
        <x:f>(D437/SUMIF($A$4:$A$802,A437,$D$4:$D$802))/(SUMIF($C$4:$C$802,C437,$D$4:$D$802)/SUM($D$4:$D$802))</x:f>
        <x:v>0.9035404697608367</x:v>
      </x:c>
    </x:row>
    <x:row r="438">
      <x:c r="A438" s="101" t="str">
        <x:v>京都府</x:v>
      </x:c>
      <x:c r="B438" s="101" t="str">
        <x:v>K</x:v>
      </x:c>
      <x:c r="C438" s="101" t="str">
        <x:v>不動産業，物品賃貸業</x:v>
      </x:c>
      <x:c r="D438" s="102" t="n">
        <x:v>32654</x:v>
      </x:c>
      <x:c r="E438" s="102" t="n">
        <x:f>1+COUNTIFS($C$4:$C$802,C438,$D$4:$D$802,"&gt;"&amp;D438)</x:f>
        <x:v>12</x:v>
      </x:c>
      <x:c r="F438" s="102" t="n">
        <x:v>2578087</x:v>
      </x:c>
      <x:c r="G438" s="126" t="n">
        <x:f>D438/F438*10000</x:f>
        <x:v>126.65980628272048</x:v>
      </x:c>
      <x:c r="H438" s="127" t="n">
        <x:f>1+COUNTIFS($C$4:$C$802,C438,$G$4:$G$802,"&gt;"&amp;G438)</x:f>
        <x:v>5</x:v>
      </x:c>
      <x:c r="I438" s="128" t="n">
        <x:f>D438/SUMIF($C$4:$C$802,C438,$D$4:$D$802)</x:f>
        <x:v>0.020179984649022518</x:v>
      </x:c>
      <x:c r="J438" s="103" t="n">
        <x:f>(D438/SUMIF($A$4:$A$802,A438,$D$4:$D$802))/(SUMIF($C$4:$C$802,C438,$D$4:$D$802)/SUM($D$4:$D$802))</x:f>
        <x:v>1.0178058566473969</x:v>
      </x:c>
    </x:row>
    <x:row r="439">
      <x:c r="A439" s="101" t="str">
        <x:v>京都府</x:v>
      </x:c>
      <x:c r="B439" s="101" t="str">
        <x:v>L</x:v>
      </x:c>
      <x:c r="C439" s="101" t="str">
        <x:v>学術研究，専門・技術サービス業</x:v>
      </x:c>
      <x:c r="D439" s="102" t="n">
        <x:v>35674</x:v>
      </x:c>
      <x:c r="E439" s="102" t="n">
        <x:f>1+COUNTIFS($C$4:$C$802,C439,$D$4:$D$802,"&gt;"&amp;D439)</x:f>
        <x:v>13</x:v>
      </x:c>
      <x:c r="F439" s="102" t="n">
        <x:v>2578087</x:v>
      </x:c>
      <x:c r="G439" s="126" t="n">
        <x:f>D439/F439*10000</x:f>
        <x:v>138.37391833557206</x:v>
      </x:c>
      <x:c r="H439" s="127" t="n">
        <x:f>1+COUNTIFS($C$4:$C$802,C439,$G$4:$G$802,"&gt;"&amp;G439)</x:f>
        <x:v>10</x:v>
      </x:c>
      <x:c r="I439" s="128" t="n">
        <x:f>D439/SUMIF($C$4:$C$802,C439,$D$4:$D$802)</x:f>
        <x:v>0.01683593528778812</x:v>
      </x:c>
      <x:c r="J439" s="103" t="n">
        <x:f>(D439/SUMIF($A$4:$A$802,A439,$D$4:$D$802))/(SUMIF($C$4:$C$802,C439,$D$4:$D$802)/SUM($D$4:$D$802))</x:f>
        <x:v>0.8491440323705771</x:v>
      </x:c>
    </x:row>
    <x:row r="440">
      <x:c r="A440" s="101" t="str">
        <x:v>京都府</x:v>
      </x:c>
      <x:c r="B440" s="101" t="str">
        <x:v>M</x:v>
      </x:c>
      <x:c r="C440" s="101" t="str">
        <x:v>宿泊業，飲食サービス業</x:v>
      </x:c>
      <x:c r="D440" s="102" t="n">
        <x:v>115266</x:v>
      </x:c>
      <x:c r="E440" s="102" t="n">
        <x:f>1+COUNTIFS($C$4:$C$802,C440,$D$4:$D$802,"&gt;"&amp;D440)</x:f>
        <x:v>11</x:v>
      </x:c>
      <x:c r="F440" s="102" t="n">
        <x:v>2578087</x:v>
      </x:c>
      <x:c r="G440" s="126" t="n">
        <x:f>D440/F440*10000</x:f>
        <x:v>447.09895360397076</x:v>
      </x:c>
      <x:c r="H440" s="127" t="n">
        <x:f>1+COUNTIFS($C$4:$C$802,C440,$G$4:$G$802,"&gt;"&amp;G440)</x:f>
        <x:v>4</x:v>
      </x:c>
      <x:c r="I440" s="128" t="n">
        <x:f>D440/SUMIF($C$4:$C$802,C440,$D$4:$D$802)</x:f>
        <x:v>0.024636125246567504</x:v>
      </x:c>
      <x:c r="J440" s="103" t="n">
        <x:f>(D440/SUMIF($A$4:$A$802,A440,$D$4:$D$802))/(SUMIF($C$4:$C$802,C440,$D$4:$D$802)/SUM($D$4:$D$802))</x:f>
        <x:v>1.2425575637030914</x:v>
      </x:c>
    </x:row>
    <x:row r="441">
      <x:c r="A441" s="101" t="str">
        <x:v>京都府</x:v>
      </x:c>
      <x:c r="B441" s="101" t="str">
        <x:v>N</x:v>
      </x:c>
      <x:c r="C441" s="101" t="str">
        <x:v>生活関連サービス業，娯楽業</x:v>
      </x:c>
      <x:c r="D441" s="102" t="n">
        <x:v>41805</x:v>
      </x:c>
      <x:c r="E441" s="102" t="n">
        <x:f>1+COUNTIFS($C$4:$C$802,C441,$D$4:$D$802,"&gt;"&amp;D441)</x:f>
        <x:v>13</x:v>
      </x:c>
      <x:c r="F441" s="102" t="n">
        <x:v>2578087</x:v>
      </x:c>
      <x:c r="G441" s="126" t="n">
        <x:f>D441/F441*10000</x:f>
        <x:v>162.15511734088105</x:v>
      </x:c>
      <x:c r="H441" s="127" t="n">
        <x:f>1+COUNTIFS($C$4:$C$802,C441,$G$4:$G$802,"&gt;"&amp;G441)</x:f>
        <x:v>32</x:v>
      </x:c>
      <x:c r="I441" s="128" t="n">
        <x:f>D441/SUMIF($C$4:$C$802,C441,$D$4:$D$802)</x:f>
        <x:v>0.01921062946806247</x:v>
      </x:c>
      <x:c r="J441" s="103" t="n">
        <x:f>(D441/SUMIF($A$4:$A$802,A441,$D$4:$D$802))/(SUMIF($C$4:$C$802,C441,$D$4:$D$802)/SUM($D$4:$D$802))</x:f>
        <x:v>0.9689150672086437</x:v>
      </x:c>
    </x:row>
    <x:row r="442">
      <x:c r="A442" s="101" t="str">
        <x:v>京都府</x:v>
      </x:c>
      <x:c r="B442" s="101" t="str">
        <x:v>O</x:v>
      </x:c>
      <x:c r="C442" s="101" t="str">
        <x:v>教育，学習支援業</x:v>
      </x:c>
      <x:c r="D442" s="102" t="n">
        <x:v>67199</x:v>
      </x:c>
      <x:c r="E442" s="102" t="n">
        <x:f>1+COUNTIFS($C$4:$C$802,C442,$D$4:$D$802,"&gt;"&amp;D442)</x:f>
        <x:v>9</x:v>
      </x:c>
      <x:c r="F442" s="102" t="n">
        <x:v>2578087</x:v>
      </x:c>
      <x:c r="G442" s="126" t="n">
        <x:f>D442/F442*10000</x:f>
        <x:v>260.65450855615035</x:v>
      </x:c>
      <x:c r="H442" s="127" t="n">
        <x:f>1+COUNTIFS($C$4:$C$802,C442,$G$4:$G$802,"&gt;"&amp;G442)</x:f>
        <x:v>2</x:v>
      </x:c>
      <x:c r="I442" s="128" t="n">
        <x:f>D442/SUMIF($C$4:$C$802,C442,$D$4:$D$802)</x:f>
        <x:v>0.0344480590382902</x:v>
      </x:c>
      <x:c r="J442" s="103" t="n">
        <x:f>(D442/SUMIF($A$4:$A$802,A442,$D$4:$D$802))/(SUMIF($C$4:$C$802,C442,$D$4:$D$802)/SUM($D$4:$D$802))</x:f>
        <x:v>1.7374362195565582</x:v>
      </x:c>
    </x:row>
    <x:row r="443">
      <x:c r="A443" s="101" t="str">
        <x:v>京都府</x:v>
      </x:c>
      <x:c r="B443" s="101" t="str">
        <x:v>P</x:v>
      </x:c>
      <x:c r="C443" s="101" t="str">
        <x:v>医療，福祉</x:v>
      </x:c>
      <x:c r="D443" s="102" t="n">
        <x:v>176055</x:v>
      </x:c>
      <x:c r="E443" s="102" t="n">
        <x:f>1+COUNTIFS($C$4:$C$802,C443,$D$4:$D$802,"&gt;"&amp;D443)</x:f>
        <x:v>12</x:v>
      </x:c>
      <x:c r="F443" s="102" t="n">
        <x:v>2578087</x:v>
      </x:c>
      <x:c r="G443" s="126" t="n">
        <x:f>D443/F443*10000</x:f>
        <x:v>682.8900653856911</x:v>
      </x:c>
      <x:c r="H443" s="127" t="n">
        <x:f>1+COUNTIFS($C$4:$C$802,C443,$G$4:$G$802,"&gt;"&amp;G443)</x:f>
        <x:v>20</x:v>
      </x:c>
      <x:c r="I443" s="128" t="n">
        <x:f>D443/SUMIF($C$4:$C$802,C443,$D$4:$D$802)</x:f>
        <x:v>0.021569029101496887</x:v>
      </x:c>
      <x:c r="J443" s="103" t="n">
        <x:f>(D443/SUMIF($A$4:$A$802,A443,$D$4:$D$802))/(SUMIF($C$4:$C$802,C443,$D$4:$D$802)/SUM($D$4:$D$802))</x:f>
        <x:v>1.0878642637007678</x:v>
      </x:c>
    </x:row>
    <x:row r="444">
      <x:c r="A444" s="101" t="str">
        <x:v>京都府</x:v>
      </x:c>
      <x:c r="B444" s="101" t="str">
        <x:v>Q</x:v>
      </x:c>
      <x:c r="C444" s="101" t="str">
        <x:v>複合サービス事業</x:v>
      </x:c>
      <x:c r="D444" s="102" t="n">
        <x:v>7399</x:v>
      </x:c>
      <x:c r="E444" s="102" t="n">
        <x:f>1+COUNTIFS($C$4:$C$802,C444,$D$4:$D$802,"&gt;"&amp;D444)</x:f>
        <x:v>21</x:v>
      </x:c>
      <x:c r="F444" s="102" t="n">
        <x:v>2578087</x:v>
      </x:c>
      <x:c r="G444" s="126" t="n">
        <x:f>D444/F444*10000</x:f>
        <x:v>28.699574529486398</x:v>
      </x:c>
      <x:c r="H444" s="127" t="n">
        <x:f>1+COUNTIFS($C$4:$C$802,C444,$G$4:$G$802,"&gt;"&amp;G444)</x:f>
        <x:v>42</x:v>
      </x:c>
      <x:c r="I444" s="128" t="n">
        <x:f>D444/SUMIF($C$4:$C$802,C444,$D$4:$D$802)</x:f>
        <x:v>0.016971351239764204</x:v>
      </x:c>
      <x:c r="J444" s="103" t="n">
        <x:f>(D444/SUMIF($A$4:$A$802,A444,$D$4:$D$802))/(SUMIF($C$4:$C$802,C444,$D$4:$D$802)/SUM($D$4:$D$802))</x:f>
        <x:v>0.8559739260202445</x:v>
      </x:c>
    </x:row>
    <x:row r="445">
      <x:c r="A445" s="101" t="str">
        <x:v>京都府</x:v>
      </x:c>
      <x:c r="B445" s="101" t="str">
        <x:v>R</x:v>
      </x:c>
      <x:c r="C445" s="101" t="str">
        <x:v>サービス業（他に分類されないもの）</x:v>
      </x:c>
      <x:c r="D445" s="102" t="n">
        <x:v>87818</x:v>
      </x:c>
      <x:c r="E445" s="102" t="n">
        <x:f>1+COUNTIFS($C$4:$C$802,C445,$D$4:$D$802,"&gt;"&amp;D445)</x:f>
        <x:v>14</x:v>
      </x:c>
      <x:c r="F445" s="102" t="n">
        <x:v>2578087</x:v>
      </x:c>
      <x:c r="G445" s="126" t="n">
        <x:f>D445/F445*10000</x:f>
        <x:v>340.6324146547421</x:v>
      </x:c>
      <x:c r="H445" s="127" t="n">
        <x:f>1+COUNTIFS($C$4:$C$802,C445,$G$4:$G$802,"&gt;"&amp;G445)</x:f>
        <x:v>24</x:v>
      </x:c>
      <x:c r="I445" s="128" t="n">
        <x:f>D445/SUMIF($C$4:$C$802,C445,$D$4:$D$802)</x:f>
        <x:v>0.01677729194738512</x:v>
      </x:c>
      <x:c r="J445" s="103" t="n">
        <x:f>(D445/SUMIF($A$4:$A$802,A445,$D$4:$D$802))/(SUMIF($C$4:$C$802,C445,$D$4:$D$802)/SUM($D$4:$D$802))</x:f>
        <x:v>0.8461862731674041</x:v>
      </x:c>
    </x:row>
    <x:row r="446">
      <x:c r="A446" s="101" t="str">
        <x:v>大阪府</x:v>
      </x:c>
      <x:c r="B446" s="101" t="str">
        <x:v>AB</x:v>
      </x:c>
      <x:c r="C446" s="101" t="str">
        <x:v>農林漁業</x:v>
      </x:c>
      <x:c r="D446" s="102" t="n">
        <x:v>2932</x:v>
      </x:c>
      <x:c r="E446" s="102" t="n">
        <x:f>1+COUNTIFS($C$4:$C$802,C446,$D$4:$D$802,"&gt;"&amp;D446)</x:f>
        <x:v>46</x:v>
      </x:c>
      <x:c r="F446" s="102" t="n">
        <x:v>8837685</x:v>
      </x:c>
      <x:c r="G446" s="126" t="n">
        <x:f>D446/F446*10000</x:f>
        <x:v>3.3176108901822143</x:v>
      </x:c>
      <x:c r="H446" s="127" t="n">
        <x:f>1+COUNTIFS($C$4:$C$802,C446,$G$4:$G$802,"&gt;"&amp;G446)</x:f>
        <x:v>47</x:v>
      </x:c>
      <x:c r="I446" s="128" t="n">
        <x:f>D446/SUMIF($C$4:$C$802,C446,$D$4:$D$802)</x:f>
        <x:v>0.006462377370217962</x:v>
      </x:c>
      <x:c r="J446" s="103" t="n">
        <x:f>(D446/SUMIF($A$4:$A$802,A446,$D$4:$D$802))/(SUMIF($C$4:$C$802,C446,$D$4:$D$802)/SUM($D$4:$D$802))</x:f>
        <x:v>0.08270252146148199</x:v>
      </x:c>
    </x:row>
    <x:row r="447">
      <x:c r="A447" s="101" t="str">
        <x:v>大阪府</x:v>
      </x:c>
      <x:c r="B447" s="101" t="str">
        <x:v>C</x:v>
      </x:c>
      <x:c r="C447" s="101" t="str">
        <x:v>鉱業，採石業，砂利採取業</x:v>
      </x:c>
      <x:c r="D447" s="102" t="n">
        <x:v>207</x:v>
      </x:c>
      <x:c r="E447" s="102" t="n">
        <x:f>1+COUNTIFS($C$4:$C$802,C447,$D$4:$D$802,"&gt;"&amp;D447)</x:f>
        <x:v>34</x:v>
      </x:c>
      <x:c r="F447" s="102" t="n">
        <x:v>8837685</x:v>
      </x:c>
      <x:c r="G447" s="126" t="n">
        <x:f>D447/F447*10000</x:f>
        <x:v>0.23422423406129547</x:v>
      </x:c>
      <x:c r="H447" s="127" t="n">
        <x:f>1+COUNTIFS($C$4:$C$802,C447,$G$4:$G$802,"&gt;"&amp;G447)</x:f>
        <x:v>47</x:v>
      </x:c>
      <x:c r="I447" s="128" t="n">
        <x:f>D447/SUMIF($C$4:$C$802,C447,$D$4:$D$802)</x:f>
        <x:v>0.010509214601208306</x:v>
      </x:c>
      <x:c r="J447" s="103" t="n">
        <x:f>(D447/SUMIF($A$4:$A$802,A447,$D$4:$D$802))/(SUMIF($C$4:$C$802,C447,$D$4:$D$802)/SUM($D$4:$D$802))</x:f>
        <x:v>0.13449207564157392</x:v>
      </x:c>
    </x:row>
    <x:row r="448">
      <x:c r="A448" s="101" t="str">
        <x:v>大阪府</x:v>
      </x:c>
      <x:c r="B448" s="101" t="str">
        <x:v>D</x:v>
      </x:c>
      <x:c r="C448" s="101" t="str">
        <x:v>建設業</x:v>
      </x:c>
      <x:c r="D448" s="102" t="n">
        <x:v>242668</x:v>
      </x:c>
      <x:c r="E448" s="102" t="n">
        <x:f>1+COUNTIFS($C$4:$C$802,C448,$D$4:$D$802,"&gt;"&amp;D448)</x:f>
        <x:v>2</x:v>
      </x:c>
      <x:c r="F448" s="102" t="n">
        <x:v>8837685</x:v>
      </x:c>
      <x:c r="G448" s="126" t="n">
        <x:f>D448/F448*10000</x:f>
        <x:v>274.5832194743307</x:v>
      </x:c>
      <x:c r="H448" s="127" t="n">
        <x:f>1+COUNTIFS($C$4:$C$802,C448,$G$4:$G$802,"&gt;"&amp;G448)</x:f>
        <x:v>38</x:v>
      </x:c>
      <x:c r="I448" s="128" t="n">
        <x:f>D448/SUMIF($C$4:$C$802,C448,$D$4:$D$802)</x:f>
        <x:v>0.0649293696311488</x:v>
      </x:c>
      <x:c r="J448" s="103" t="n">
        <x:f>(D448/SUMIF($A$4:$A$802,A448,$D$4:$D$802))/(SUMIF($C$4:$C$802,C448,$D$4:$D$802)/SUM($D$4:$D$802))</x:f>
        <x:v>0.8309360901991812</x:v>
      </x:c>
    </x:row>
    <x:row r="449">
      <x:c r="A449" s="101" t="str">
        <x:v>大阪府</x:v>
      </x:c>
      <x:c r="B449" s="101" t="str">
        <x:v>E</x:v>
      </x:c>
      <x:c r="C449" s="101" t="str">
        <x:v>製造業</x:v>
      </x:c>
      <x:c r="D449" s="102" t="n">
        <x:v>593281</x:v>
      </x:c>
      <x:c r="E449" s="102" t="n">
        <x:f>1+COUNTIFS($C$4:$C$802,C449,$D$4:$D$802,"&gt;"&amp;D449)</x:f>
        <x:v>2</x:v>
      </x:c>
      <x:c r="F449" s="102" t="n">
        <x:v>8837685</x:v>
      </x:c>
      <x:c r="G449" s="126" t="n">
        <x:f>D449/F449*10000</x:f>
        <x:v>671.3081536624127</x:v>
      </x:c>
      <x:c r="H449" s="127" t="n">
        <x:f>1+COUNTIFS($C$4:$C$802,C449,$G$4:$G$802,"&gt;"&amp;G449)</x:f>
        <x:v>28</x:v>
      </x:c>
      <x:c r="I449" s="128" t="n">
        <x:f>D449/SUMIF($C$4:$C$802,C449,$D$4:$D$802)</x:f>
        <x:v>0.06739039736163768</x:v>
      </x:c>
      <x:c r="J449" s="103" t="n">
        <x:f>(D449/SUMIF($A$4:$A$802,A449,$D$4:$D$802))/(SUMIF($C$4:$C$802,C449,$D$4:$D$802)/SUM($D$4:$D$802))</x:f>
        <x:v>0.8624311866687941</x:v>
      </x:c>
    </x:row>
    <x:row r="450">
      <x:c r="A450" s="101" t="str">
        <x:v>大阪府</x:v>
      </x:c>
      <x:c r="B450" s="101" t="str">
        <x:v>F</x:v>
      </x:c>
      <x:c r="C450" s="101" t="str">
        <x:v>電気・ガス・熱供給・水道業</x:v>
      </x:c>
      <x:c r="D450" s="102" t="n">
        <x:v>15774</x:v>
      </x:c>
      <x:c r="E450" s="102" t="n">
        <x:f>1+COUNTIFS($C$4:$C$802,C450,$D$4:$D$802,"&gt;"&amp;D450)</x:f>
        <x:v>2</x:v>
      </x:c>
      <x:c r="F450" s="102" t="n">
        <x:v>8837685</x:v>
      </x:c>
      <x:c r="G450" s="126" t="n">
        <x:f>D450/F450*10000</x:f>
        <x:v>17.84856554629408</x:v>
      </x:c>
      <x:c r="H450" s="127" t="n">
        <x:f>1+COUNTIFS($C$4:$C$802,C450,$G$4:$G$802,"&gt;"&amp;G450)</x:f>
        <x:v>15</x:v>
      </x:c>
      <x:c r="I450" s="128" t="n">
        <x:f>D450/SUMIF($C$4:$C$802,C450,$D$4:$D$802)</x:f>
        <x:v>0.07803155098466973</x:v>
      </x:c>
      <x:c r="J450" s="103" t="n">
        <x:f>(D450/SUMIF($A$4:$A$802,A450,$D$4:$D$802))/(SUMIF($C$4:$C$802,C450,$D$4:$D$802)/SUM($D$4:$D$802))</x:f>
        <x:v>0.9986117569863789</x:v>
      </x:c>
    </x:row>
    <x:row r="451">
      <x:c r="A451" s="101" t="str">
        <x:v>大阪府</x:v>
      </x:c>
      <x:c r="B451" s="101" t="str">
        <x:v>G</x:v>
      </x:c>
      <x:c r="C451" s="101" t="str">
        <x:v>情報通信業</x:v>
      </x:c>
      <x:c r="D451" s="102" t="n">
        <x:v>182399</x:v>
      </x:c>
      <x:c r="E451" s="102" t="n">
        <x:f>1+COUNTIFS($C$4:$C$802,C451,$D$4:$D$802,"&gt;"&amp;D451)</x:f>
        <x:v>2</x:v>
      </x:c>
      <x:c r="F451" s="102" t="n">
        <x:v>8837685</x:v>
      </x:c>
      <x:c r="G451" s="126" t="n">
        <x:f>D451/F451*10000</x:f>
        <x:v>206.3877587852475</x:v>
      </x:c>
      <x:c r="H451" s="127" t="n">
        <x:f>1+COUNTIFS($C$4:$C$802,C451,$G$4:$G$802,"&gt;"&amp;G451)</x:f>
        <x:v>2</x:v>
      </x:c>
      <x:c r="I451" s="128" t="n">
        <x:f>D451/SUMIF($C$4:$C$802,C451,$D$4:$D$802)</x:f>
        <x:v>0.09180361367982005</x:v>
      </x:c>
      <x:c r="J451" s="103" t="n">
        <x:f>(D451/SUMIF($A$4:$A$802,A451,$D$4:$D$802))/(SUMIF($C$4:$C$802,C451,$D$4:$D$802)/SUM($D$4:$D$802))</x:f>
        <x:v>1.17486025585362</x:v>
      </x:c>
    </x:row>
    <x:row r="452">
      <x:c r="A452" s="101" t="str">
        <x:v>大阪府</x:v>
      </x:c>
      <x:c r="B452" s="101" t="str">
        <x:v>H</x:v>
      </x:c>
      <x:c r="C452" s="101" t="str">
        <x:v>運輸業，郵便業</x:v>
      </x:c>
      <x:c r="D452" s="102" t="n">
        <x:v>272347</x:v>
      </x:c>
      <x:c r="E452" s="102" t="n">
        <x:f>1+COUNTIFS($C$4:$C$802,C452,$D$4:$D$802,"&gt;"&amp;D452)</x:f>
        <x:v>2</x:v>
      </x:c>
      <x:c r="F452" s="102" t="n">
        <x:v>8837685</x:v>
      </x:c>
      <x:c r="G452" s="126" t="n">
        <x:f>D452/F452*10000</x:f>
        <x:v>308.1655433521335</x:v>
      </x:c>
      <x:c r="H452" s="127" t="n">
        <x:f>1+COUNTIFS($C$4:$C$802,C452,$G$4:$G$802,"&gt;"&amp;G452)</x:f>
        <x:v>2</x:v>
      </x:c>
      <x:c r="I452" s="128" t="n">
        <x:f>D452/SUMIF($C$4:$C$802,C452,$D$4:$D$802)</x:f>
        <x:v>0.08342088513183617</x:v>
      </x:c>
      <x:c r="J452" s="103" t="n">
        <x:f>(D452/SUMIF($A$4:$A$802,A452,$D$4:$D$802))/(SUMIF($C$4:$C$802,C452,$D$4:$D$802)/SUM($D$4:$D$802))</x:f>
        <x:v>1.0675819667768507</x:v>
      </x:c>
    </x:row>
    <x:row r="453">
      <x:c r="A453" s="101" t="str">
        <x:v>大阪府</x:v>
      </x:c>
      <x:c r="B453" s="101" t="str">
        <x:v>I</x:v>
      </x:c>
      <x:c r="C453" s="101" t="str">
        <x:v>卸売業，小売業</x:v>
      </x:c>
      <x:c r="D453" s="102" t="n">
        <x:v>970064</x:v>
      </x:c>
      <x:c r="E453" s="102" t="n">
        <x:f>1+COUNTIFS($C$4:$C$802,C453,$D$4:$D$802,"&gt;"&amp;D453)</x:f>
        <x:v>2</x:v>
      </x:c>
      <x:c r="F453" s="102" t="n">
        <x:v>8837685</x:v>
      </x:c>
      <x:c r="G453" s="126" t="n">
        <x:f>D453/F453*10000</x:f>
        <x:v>1097.644914929645</x:v>
      </x:c>
      <x:c r="H453" s="127" t="n">
        <x:f>1+COUNTIFS($C$4:$C$802,C453,$G$4:$G$802,"&gt;"&amp;G453)</x:f>
        <x:v>2</x:v>
      </x:c>
      <x:c r="I453" s="128" t="n">
        <x:f>D453/SUMIF($C$4:$C$802,C453,$D$4:$D$802)</x:f>
        <x:v>0.08354033319542911</x:v>
      </x:c>
      <x:c r="J453" s="103" t="n">
        <x:f>(D453/SUMIF($A$4:$A$802,A453,$D$4:$D$802))/(SUMIF($C$4:$C$802,C453,$D$4:$D$802)/SUM($D$4:$D$802))</x:f>
        <x:v>1.0691106079373551</x:v>
      </x:c>
    </x:row>
    <x:row r="454">
      <x:c r="A454" s="101" t="str">
        <x:v>大阪府</x:v>
      </x:c>
      <x:c r="B454" s="101" t="str">
        <x:v>J</x:v>
      </x:c>
      <x:c r="C454" s="101" t="str">
        <x:v>金融業，保険業</x:v>
      </x:c>
      <x:c r="D454" s="102" t="n">
        <x:v>117785</x:v>
      </x:c>
      <x:c r="E454" s="102" t="n">
        <x:f>1+COUNTIFS($C$4:$C$802,C454,$D$4:$D$802,"&gt;"&amp;D454)</x:f>
        <x:v>2</x:v>
      </x:c>
      <x:c r="F454" s="102" t="n">
        <x:v>8837685</x:v>
      </x:c>
      <x:c r="G454" s="126" t="n">
        <x:f>D454/F454*10000</x:f>
        <x:v>133.275852216955</x:v>
      </x:c>
      <x:c r="H454" s="127" t="n">
        <x:f>1+COUNTIFS($C$4:$C$802,C454,$G$4:$G$802,"&gt;"&amp;G454)</x:f>
        <x:v>2</x:v>
      </x:c>
      <x:c r="I454" s="128" t="n">
        <x:f>D454/SUMIF($C$4:$C$802,C454,$D$4:$D$802)</x:f>
        <x:v>0.07881568698826849</x:v>
      </x:c>
      <x:c r="J454" s="103" t="n">
        <x:f>(D454/SUMIF($A$4:$A$802,A454,$D$4:$D$802))/(SUMIF($C$4:$C$802,C454,$D$4:$D$802)/SUM($D$4:$D$802))</x:f>
        <x:v>1.0086467674710977</x:v>
      </x:c>
    </x:row>
    <x:row r="455">
      <x:c r="A455" s="101" t="str">
        <x:v>大阪府</x:v>
      </x:c>
      <x:c r="B455" s="101" t="str">
        <x:v>K</x:v>
      </x:c>
      <x:c r="C455" s="101" t="str">
        <x:v>不動産業，物品賃貸業</x:v>
      </x:c>
      <x:c r="D455" s="102" t="n">
        <x:v>167919</x:v>
      </x:c>
      <x:c r="E455" s="102" t="n">
        <x:f>1+COUNTIFS($C$4:$C$802,C455,$D$4:$D$802,"&gt;"&amp;D455)</x:f>
        <x:v>2</x:v>
      </x:c>
      <x:c r="F455" s="102" t="n">
        <x:v>8837685</x:v>
      </x:c>
      <x:c r="G455" s="126" t="n">
        <x:f>D455/F455*10000</x:f>
        <x:v>190.00337758134623</x:v>
      </x:c>
      <x:c r="H455" s="127" t="n">
        <x:f>1+COUNTIFS($C$4:$C$802,C455,$G$4:$G$802,"&gt;"&amp;G455)</x:f>
        <x:v>2</x:v>
      </x:c>
      <x:c r="I455" s="128" t="n">
        <x:f>D455/SUMIF($C$4:$C$802,C455,$D$4:$D$802)</x:f>
        <x:v>0.10377297857166694</x:v>
      </x:c>
      <x:c r="J455" s="103" t="n">
        <x:f>(D455/SUMIF($A$4:$A$802,A455,$D$4:$D$802))/(SUMIF($C$4:$C$802,C455,$D$4:$D$802)/SUM($D$4:$D$802))</x:f>
        <x:v>1.3280386606633177</x:v>
      </x:c>
    </x:row>
    <x:row r="456">
      <x:c r="A456" s="101" t="str">
        <x:v>大阪府</x:v>
      </x:c>
      <x:c r="B456" s="101" t="str">
        <x:v>L</x:v>
      </x:c>
      <x:c r="C456" s="101" t="str">
        <x:v>学術研究，専門・技術サービス業</x:v>
      </x:c>
      <x:c r="D456" s="102" t="n">
        <x:v>175058</x:v>
      </x:c>
      <x:c r="E456" s="102" t="n">
        <x:f>1+COUNTIFS($C$4:$C$802,C456,$D$4:$D$802,"&gt;"&amp;D456)</x:f>
        <x:v>3</x:v>
      </x:c>
      <x:c r="F456" s="102" t="n">
        <x:v>8837685</x:v>
      </x:c>
      <x:c r="G456" s="126" t="n">
        <x:f>D456/F456*10000</x:f>
        <x:v>198.08128486136357</x:v>
      </x:c>
      <x:c r="H456" s="127" t="n">
        <x:f>1+COUNTIFS($C$4:$C$802,C456,$G$4:$G$802,"&gt;"&amp;G456)</x:f>
        <x:v>3</x:v>
      </x:c>
      <x:c r="I456" s="128" t="n">
        <x:f>D456/SUMIF($C$4:$C$802,C456,$D$4:$D$802)</x:f>
        <x:v>0.0826166160119306</x:v>
      </x:c>
      <x:c r="J456" s="103" t="n">
        <x:f>(D456/SUMIF($A$4:$A$802,A456,$D$4:$D$802))/(SUMIF($C$4:$C$802,C456,$D$4:$D$802)/SUM($D$4:$D$802))</x:f>
        <x:v>1.057289301966477</x:v>
      </x:c>
    </x:row>
    <x:row r="457">
      <x:c r="A457" s="101" t="str">
        <x:v>大阪府</x:v>
      </x:c>
      <x:c r="B457" s="101" t="str">
        <x:v>M</x:v>
      </x:c>
      <x:c r="C457" s="101" t="str">
        <x:v>宿泊業，飲食サービス業</x:v>
      </x:c>
      <x:c r="D457" s="102" t="n">
        <x:v>362394</x:v>
      </x:c>
      <x:c r="E457" s="102" t="n">
        <x:f>1+COUNTIFS($C$4:$C$802,C457,$D$4:$D$802,"&gt;"&amp;D457)</x:f>
        <x:v>2</x:v>
      </x:c>
      <x:c r="F457" s="102" t="n">
        <x:v>8837685</x:v>
      </x:c>
      <x:c r="G457" s="126" t="n">
        <x:f>D457/F457*10000</x:f>
        <x:v>410.0553482048749</x:v>
      </x:c>
      <x:c r="H457" s="127" t="n">
        <x:f>1+COUNTIFS($C$4:$C$802,C457,$G$4:$G$802,"&gt;"&amp;G457)</x:f>
        <x:v>6</x:v>
      </x:c>
      <x:c r="I457" s="128" t="n">
        <x:f>D457/SUMIF($C$4:$C$802,C457,$D$4:$D$802)</x:f>
        <x:v>0.0774554853348306</x:v>
      </x:c>
      <x:c r="J457" s="103" t="n">
        <x:f>(D457/SUMIF($A$4:$A$802,A457,$D$4:$D$802))/(SUMIF($C$4:$C$802,C457,$D$4:$D$802)/SUM($D$4:$D$802))</x:f>
        <x:v>0.9912395348087324</x:v>
      </x:c>
    </x:row>
    <x:row r="458">
      <x:c r="A458" s="101" t="str">
        <x:v>大阪府</x:v>
      </x:c>
      <x:c r="B458" s="101" t="str">
        <x:v>N</x:v>
      </x:c>
      <x:c r="C458" s="101" t="str">
        <x:v>生活関連サービス業，娯楽業</x:v>
      </x:c>
      <x:c r="D458" s="102" t="n">
        <x:v>152666</x:v>
      </x:c>
      <x:c r="E458" s="102" t="n">
        <x:f>1+COUNTIFS($C$4:$C$802,C458,$D$4:$D$802,"&gt;"&amp;D458)</x:f>
        <x:v>2</x:v>
      </x:c>
      <x:c r="F458" s="102" t="n">
        <x:v>8837685</x:v>
      </x:c>
      <x:c r="G458" s="126" t="n">
        <x:f>D458/F458*10000</x:f>
        <x:v>172.74433293334172</x:v>
      </x:c>
      <x:c r="H458" s="127" t="n">
        <x:f>1+COUNTIFS($C$4:$C$802,C458,$G$4:$G$802,"&gt;"&amp;G458)</x:f>
        <x:v>16</x:v>
      </x:c>
      <x:c r="I458" s="128" t="n">
        <x:f>D458/SUMIF($C$4:$C$802,C458,$D$4:$D$802)</x:f>
        <x:v>0.07015452597467349</x:v>
      </x:c>
      <x:c r="J458" s="103" t="n">
        <x:f>(D458/SUMIF($A$4:$A$802,A458,$D$4:$D$802))/(SUMIF($C$4:$C$802,C458,$D$4:$D$802)/SUM($D$4:$D$802))</x:f>
        <x:v>0.8978052282707908</x:v>
      </x:c>
    </x:row>
    <x:row r="459">
      <x:c r="A459" s="101" t="str">
        <x:v>大阪府</x:v>
      </x:c>
      <x:c r="B459" s="101" t="str">
        <x:v>O</x:v>
      </x:c>
      <x:c r="C459" s="101" t="str">
        <x:v>教育，学習支援業</x:v>
      </x:c>
      <x:c r="D459" s="102" t="n">
        <x:v>159319</x:v>
      </x:c>
      <x:c r="E459" s="102" t="n">
        <x:f>1+COUNTIFS($C$4:$C$802,C459,$D$4:$D$802,"&gt;"&amp;D459)</x:f>
        <x:v>2</x:v>
      </x:c>
      <x:c r="F459" s="102" t="n">
        <x:v>8837685</x:v>
      </x:c>
      <x:c r="G459" s="126" t="n">
        <x:f>D459/F459*10000</x:f>
        <x:v>180.2723224464325</x:v>
      </x:c>
      <x:c r="H459" s="127" t="n">
        <x:f>1+COUNTIFS($C$4:$C$802,C459,$G$4:$G$802,"&gt;"&amp;G459)</x:f>
        <x:v>3</x:v>
      </x:c>
      <x:c r="I459" s="128" t="n">
        <x:f>D459/SUMIF($C$4:$C$802,C459,$D$4:$D$802)</x:f>
        <x:v>0.08167130936355238</x:v>
      </x:c>
      <x:c r="J459" s="103" t="n">
        <x:f>(D459/SUMIF($A$4:$A$802,A459,$D$4:$D$802))/(SUMIF($C$4:$C$802,C459,$D$4:$D$802)/SUM($D$4:$D$802))</x:f>
        <x:v>1.0451917039934042</x:v>
      </x:c>
    </x:row>
    <x:row r="460">
      <x:c r="A460" s="101" t="str">
        <x:v>大阪府</x:v>
      </x:c>
      <x:c r="B460" s="101" t="str">
        <x:v>P</x:v>
      </x:c>
      <x:c r="C460" s="101" t="str">
        <x:v>医療，福祉</x:v>
      </x:c>
      <x:c r="D460" s="102" t="n">
        <x:v>648267</x:v>
      </x:c>
      <x:c r="E460" s="102" t="n">
        <x:f>1+COUNTIFS($C$4:$C$802,C460,$D$4:$D$802,"&gt;"&amp;D460)</x:f>
        <x:v>2</x:v>
      </x:c>
      <x:c r="F460" s="102" t="n">
        <x:v>8837685</x:v>
      </x:c>
      <x:c r="G460" s="126" t="n">
        <x:f>D460/F460*10000</x:f>
        <x:v>733.5258045517576</x:v>
      </x:c>
      <x:c r="H460" s="127" t="n">
        <x:f>1+COUNTIFS($C$4:$C$802,C460,$G$4:$G$802,"&gt;"&amp;G460)</x:f>
        <x:v>15</x:v>
      </x:c>
      <x:c r="I460" s="128" t="n">
        <x:f>D460/SUMIF($C$4:$C$802,C460,$D$4:$D$802)</x:f>
        <x:v>0.07942114559961423</x:v>
      </x:c>
      <x:c r="J460" s="103" t="n">
        <x:f>(D460/SUMIF($A$4:$A$802,A460,$D$4:$D$802))/(SUMIF($C$4:$C$802,C460,$D$4:$D$802)/SUM($D$4:$D$802))</x:f>
        <x:v>1.0163951471973613</x:v>
      </x:c>
    </x:row>
    <x:row r="461">
      <x:c r="A461" s="101" t="str">
        <x:v>大阪府</x:v>
      </x:c>
      <x:c r="B461" s="101" t="str">
        <x:v>Q</x:v>
      </x:c>
      <x:c r="C461" s="101" t="str">
        <x:v>複合サービス事業</x:v>
      </x:c>
      <x:c r="D461" s="102" t="n">
        <x:v>20377</x:v>
      </x:c>
      <x:c r="E461" s="102" t="n">
        <x:f>1+COUNTIFS($C$4:$C$802,C461,$D$4:$D$802,"&gt;"&amp;D461)</x:f>
        <x:v>4</x:v>
      </x:c>
      <x:c r="F461" s="102" t="n">
        <x:v>8837685</x:v>
      </x:c>
      <x:c r="G461" s="126" t="n">
        <x:f>D461/F461*10000</x:f>
        <x:v>23.056943079550813</x:v>
      </x:c>
      <x:c r="H461" s="127" t="n">
        <x:f>1+COUNTIFS($C$4:$C$802,C461,$G$4:$G$802,"&gt;"&amp;G461)</x:f>
        <x:v>45</x:v>
      </x:c>
      <x:c r="I461" s="128" t="n">
        <x:f>D461/SUMIF($C$4:$C$802,C461,$D$4:$D$802)</x:f>
        <x:v>0.04673945454962498</x:v>
      </x:c>
      <x:c r="J461" s="103" t="n">
        <x:f>(D461/SUMIF($A$4:$A$802,A461,$D$4:$D$802))/(SUMIF($C$4:$C$802,C461,$D$4:$D$802)/SUM($D$4:$D$802))</x:f>
        <x:v>0.5981499565163815</x:v>
      </x:c>
    </x:row>
    <x:row r="462">
      <x:c r="A462" s="101" t="str">
        <x:v>大阪府</x:v>
      </x:c>
      <x:c r="B462" s="101" t="str">
        <x:v>R</x:v>
      </x:c>
      <x:c r="C462" s="101" t="str">
        <x:v>サービス業（他に分類されないもの）</x:v>
      </x:c>
      <x:c r="D462" s="102" t="n">
        <x:v>444751</x:v>
      </x:c>
      <x:c r="E462" s="102" t="n">
        <x:f>1+COUNTIFS($C$4:$C$802,C462,$D$4:$D$802,"&gt;"&amp;D462)</x:f>
        <x:v>2</x:v>
      </x:c>
      <x:c r="F462" s="102" t="n">
        <x:v>8837685</x:v>
      </x:c>
      <x:c r="G462" s="126" t="n">
        <x:f>D462/F462*10000</x:f>
        <x:v>503.2437793381411</x:v>
      </x:c>
      <x:c r="H462" s="127" t="n">
        <x:f>1+COUNTIFS($C$4:$C$802,C462,$G$4:$G$802,"&gt;"&amp;G462)</x:f>
        <x:v>2</x:v>
      </x:c>
      <x:c r="I462" s="128" t="n">
        <x:f>D462/SUMIF($C$4:$C$802,C462,$D$4:$D$802)</x:f>
        <x:v>0.08496797206599423</x:v>
      </x:c>
      <x:c r="J462" s="103" t="n">
        <x:f>(D462/SUMIF($A$4:$A$802,A462,$D$4:$D$802))/(SUMIF($C$4:$C$802,C462,$D$4:$D$802)/SUM($D$4:$D$802))</x:f>
        <x:v>1.0873808709641295</x:v>
      </x:c>
    </x:row>
    <x:row r="463">
      <x:c r="A463" s="101" t="str">
        <x:v>兵庫県</x:v>
      </x:c>
      <x:c r="B463" s="101" t="str">
        <x:v>AB</x:v>
      </x:c>
      <x:c r="C463" s="101" t="str">
        <x:v>農林漁業</x:v>
      </x:c>
      <x:c r="D463" s="102" t="n">
        <x:v>11283</x:v>
      </x:c>
      <x:c r="E463" s="102" t="n">
        <x:f>1+COUNTIFS($C$4:$C$802,C463,$D$4:$D$802,"&gt;"&amp;D463)</x:f>
        <x:v>15</x:v>
      </x:c>
      <x:c r="F463" s="102" t="n">
        <x:v>5465002</x:v>
      </x:c>
      <x:c r="G463" s="126" t="n">
        <x:f>D463/F463*10000</x:f>
        <x:v>20.64592108109018</x:v>
      </x:c>
      <x:c r="H463" s="127" t="n">
        <x:f>1+COUNTIFS($C$4:$C$802,C463,$G$4:$G$802,"&gt;"&amp;G463)</x:f>
        <x:v>41</x:v>
      </x:c>
      <x:c r="I463" s="128" t="n">
        <x:f>D463/SUMIF($C$4:$C$802,C463,$D$4:$D$802)</x:f>
        <x:v>0.02486869163307274</x:v>
      </x:c>
      <x:c r="J463" s="103" t="n">
        <x:f>(D463/SUMIF($A$4:$A$802,A463,$D$4:$D$802))/(SUMIF($C$4:$C$802,C463,$D$4:$D$802)/SUM($D$4:$D$802))</x:f>
        <x:v>0.648732242627638</x:v>
      </x:c>
    </x:row>
    <x:row r="464">
      <x:c r="A464" s="101" t="str">
        <x:v>兵庫県</x:v>
      </x:c>
      <x:c r="B464" s="101" t="str">
        <x:v>C</x:v>
      </x:c>
      <x:c r="C464" s="101" t="str">
        <x:v>鉱業，採石業，砂利採取業</x:v>
      </x:c>
      <x:c r="D464" s="102" t="n">
        <x:v>275</x:v>
      </x:c>
      <x:c r="E464" s="102" t="n">
        <x:f>1+COUNTIFS($C$4:$C$802,C464,$D$4:$D$802,"&gt;"&amp;D464)</x:f>
        <x:v>28</x:v>
      </x:c>
      <x:c r="F464" s="102" t="n">
        <x:v>5465002</x:v>
      </x:c>
      <x:c r="G464" s="126" t="n">
        <x:f>D464/F464*10000</x:f>
        <x:v>0.5032020116369582</x:v>
      </x:c>
      <x:c r="H464" s="127" t="n">
        <x:f>1+COUNTIFS($C$4:$C$802,C464,$G$4:$G$802,"&gt;"&amp;G464)</x:f>
        <x:v>45</x:v>
      </x:c>
      <x:c r="I464" s="128" t="n">
        <x:f>D464/SUMIF($C$4:$C$802,C464,$D$4:$D$802)</x:f>
        <x:v>0.013961516982281565</x:v>
      </x:c>
      <x:c r="J464" s="103" t="n">
        <x:f>(D464/SUMIF($A$4:$A$802,A464,$D$4:$D$802))/(SUMIF($C$4:$C$802,C464,$D$4:$D$802)/SUM($D$4:$D$802))</x:f>
        <x:v>0.3642043721493629</x:v>
      </x:c>
    </x:row>
    <x:row r="465">
      <x:c r="A465" s="101" t="str">
        <x:v>兵庫県</x:v>
      </x:c>
      <x:c r="B465" s="101" t="str">
        <x:v>D</x:v>
      </x:c>
      <x:c r="C465" s="101" t="str">
        <x:v>建設業</x:v>
      </x:c>
      <x:c r="D465" s="102" t="n">
        <x:v>110274</x:v>
      </x:c>
      <x:c r="E465" s="102" t="n">
        <x:f>1+COUNTIFS($C$4:$C$802,C465,$D$4:$D$802,"&gt;"&amp;D465)</x:f>
        <x:v>9</x:v>
      </x:c>
      <x:c r="F465" s="102" t="n">
        <x:v>5465002</x:v>
      </x:c>
      <x:c r="G465" s="126" t="n">
        <x:f>D465/F465*10000</x:f>
        <x:v>201.7821768409234</x:v>
      </x:c>
      <x:c r="H465" s="127" t="n">
        <x:f>1+COUNTIFS($C$4:$C$802,C465,$G$4:$G$802,"&gt;"&amp;G465)</x:f>
        <x:v>46</x:v>
      </x:c>
      <x:c r="I465" s="128" t="n">
        <x:f>D465/SUMIF($C$4:$C$802,C465,$D$4:$D$802)</x:f>
        <x:v>0.02950542019015817</x:v>
      </x:c>
      <x:c r="J465" s="103" t="n">
        <x:f>(D465/SUMIF($A$4:$A$802,A465,$D$4:$D$802))/(SUMIF($C$4:$C$802,C465,$D$4:$D$802)/SUM($D$4:$D$802))</x:f>
        <x:v>0.7696873519544724</x:v>
      </x:c>
    </x:row>
    <x:row r="466">
      <x:c r="A466" s="101" t="str">
        <x:v>兵庫県</x:v>
      </x:c>
      <x:c r="B466" s="101" t="str">
        <x:v>E</x:v>
      </x:c>
      <x:c r="C466" s="101" t="str">
        <x:v>製造業</x:v>
      </x:c>
      <x:c r="D466" s="102" t="n">
        <x:v>401351</x:v>
      </x:c>
      <x:c r="E466" s="102" t="n">
        <x:f>1+COUNTIFS($C$4:$C$802,C466,$D$4:$D$802,"&gt;"&amp;D466)</x:f>
        <x:v>7</x:v>
      </x:c>
      <x:c r="F466" s="102" t="n">
        <x:v>5465002</x:v>
      </x:c>
      <x:c r="G466" s="126" t="n">
        <x:f>D466/F466*10000</x:f>
        <x:v>734.4022929909266</x:v>
      </x:c>
      <x:c r="H466" s="127" t="n">
        <x:f>1+COUNTIFS($C$4:$C$802,C466,$G$4:$G$802,"&gt;"&amp;G466)</x:f>
        <x:v>23</x:v>
      </x:c>
      <x:c r="I466" s="128" t="n">
        <x:f>D466/SUMIF($C$4:$C$802,C466,$D$4:$D$802)</x:f>
        <x:v>0.045589195291085745</x:v>
      </x:c>
      <x:c r="J466" s="103" t="n">
        <x:f>(D466/SUMIF($A$4:$A$802,A466,$D$4:$D$802))/(SUMIF($C$4:$C$802,C466,$D$4:$D$802)/SUM($D$4:$D$802))</x:f>
        <x:v>1.1892535939222284</x:v>
      </x:c>
    </x:row>
    <x:row r="467">
      <x:c r="A467" s="101" t="str">
        <x:v>兵庫県</x:v>
      </x:c>
      <x:c r="B467" s="101" t="str">
        <x:v>F</x:v>
      </x:c>
      <x:c r="C467" s="101" t="str">
        <x:v>電気・ガス・熱供給・水道業</x:v>
      </x:c>
      <x:c r="D467" s="102" t="n">
        <x:v>5219</x:v>
      </x:c>
      <x:c r="E467" s="102" t="n">
        <x:f>1+COUNTIFS($C$4:$C$802,C467,$D$4:$D$802,"&gt;"&amp;D467)</x:f>
        <x:v>10</x:v>
      </x:c>
      <x:c r="F467" s="102" t="n">
        <x:v>5465002</x:v>
      </x:c>
      <x:c r="G467" s="126" t="n">
        <x:f>D467/F467*10000</x:f>
        <x:v>9.549859268121036</x:v>
      </x:c>
      <x:c r="H467" s="127" t="n">
        <x:f>1+COUNTIFS($C$4:$C$802,C467,$G$4:$G$802,"&gt;"&amp;G467)</x:f>
        <x:v>41</x:v>
      </x:c>
      <x:c r="I467" s="128" t="n">
        <x:f>D467/SUMIF($C$4:$C$802,C467,$D$4:$D$802)</x:f>
        <x:v>0.02581758999549837</x:v>
      </x:c>
      <x:c r="J467" s="103" t="n">
        <x:f>(D467/SUMIF($A$4:$A$802,A467,$D$4:$D$802))/(SUMIF($C$4:$C$802,C467,$D$4:$D$802)/SUM($D$4:$D$802))</x:f>
        <x:v>0.6734854934928108</x:v>
      </x:c>
    </x:row>
    <x:row r="468">
      <x:c r="A468" s="101" t="str">
        <x:v>兵庫県</x:v>
      </x:c>
      <x:c r="B468" s="101" t="str">
        <x:v>G</x:v>
      </x:c>
      <x:c r="C468" s="101" t="str">
        <x:v>情報通信業</x:v>
      </x:c>
      <x:c r="D468" s="102" t="n">
        <x:v>26824</x:v>
      </x:c>
      <x:c r="E468" s="102" t="n">
        <x:f>1+COUNTIFS($C$4:$C$802,C468,$D$4:$D$802,"&gt;"&amp;D468)</x:f>
        <x:v>8</x:v>
      </x:c>
      <x:c r="F468" s="102" t="n">
        <x:v>5465002</x:v>
      </x:c>
      <x:c r="G468" s="126" t="n">
        <x:f>D468/F468*10000</x:f>
        <x:v>49.083239127817336</x:v>
      </x:c>
      <x:c r="H468" s="127" t="n">
        <x:f>1+COUNTIFS($C$4:$C$802,C468,$G$4:$G$802,"&gt;"&amp;G468)</x:f>
        <x:v>27</x:v>
      </x:c>
      <x:c r="I468" s="128" t="n">
        <x:f>D468/SUMIF($C$4:$C$802,C468,$D$4:$D$802)</x:f>
        <x:v>0.01350084229270716</x:v>
      </x:c>
      <x:c r="J468" s="103" t="n">
        <x:f>(D468/SUMIF($A$4:$A$802,A468,$D$4:$D$802))/(SUMIF($C$4:$C$802,C468,$D$4:$D$802)/SUM($D$4:$D$802))</x:f>
        <x:v>0.35218707228900564</x:v>
      </x:c>
    </x:row>
    <x:row r="469">
      <x:c r="A469" s="101" t="str">
        <x:v>兵庫県</x:v>
      </x:c>
      <x:c r="B469" s="101" t="str">
        <x:v>H</x:v>
      </x:c>
      <x:c r="C469" s="101" t="str">
        <x:v>運輸業，郵便業</x:v>
      </x:c>
      <x:c r="D469" s="102" t="n">
        <x:v>129185</x:v>
      </x:c>
      <x:c r="E469" s="102" t="n">
        <x:f>1+COUNTIFS($C$4:$C$802,C469,$D$4:$D$802,"&gt;"&amp;D469)</x:f>
        <x:v>9</x:v>
      </x:c>
      <x:c r="F469" s="102" t="n">
        <x:v>5465002</x:v>
      </x:c>
      <x:c r="G469" s="126" t="n">
        <x:f>D469/F469*10000</x:f>
        <x:v>236.38600681207436</x:v>
      </x:c>
      <x:c r="H469" s="127" t="n">
        <x:f>1+COUNTIFS($C$4:$C$802,C469,$G$4:$G$802,"&gt;"&amp;G469)</x:f>
        <x:v>24</x:v>
      </x:c>
      <x:c r="I469" s="128" t="n">
        <x:f>D469/SUMIF($C$4:$C$802,C469,$D$4:$D$802)</x:f>
        <x:v>0.039569839380482454</x:v>
      </x:c>
      <x:c r="J469" s="103" t="n">
        <x:f>(D469/SUMIF($A$4:$A$802,A469,$D$4:$D$802))/(SUMIF($C$4:$C$802,C469,$D$4:$D$802)/SUM($D$4:$D$802))</x:f>
        <x:v>1.03223084754395</x:v>
      </x:c>
    </x:row>
    <x:row r="470">
      <x:c r="A470" s="101" t="str">
        <x:v>兵庫県</x:v>
      </x:c>
      <x:c r="B470" s="101" t="str">
        <x:v>I</x:v>
      </x:c>
      <x:c r="C470" s="101" t="str">
        <x:v>卸売業，小売業</x:v>
      </x:c>
      <x:c r="D470" s="102" t="n">
        <x:v>436975</x:v>
      </x:c>
      <x:c r="E470" s="102" t="n">
        <x:f>1+COUNTIFS($C$4:$C$802,C470,$D$4:$D$802,"&gt;"&amp;D470)</x:f>
        <x:v>9</x:v>
      </x:c>
      <x:c r="F470" s="102" t="n">
        <x:v>5465002</x:v>
      </x:c>
      <x:c r="G470" s="126" t="n">
        <x:f>D470/F470*10000</x:f>
        <x:v>799.5879964911267</x:v>
      </x:c>
      <x:c r="H470" s="127" t="n">
        <x:f>1+COUNTIFS($C$4:$C$802,C470,$G$4:$G$802,"&gt;"&amp;G470)</x:f>
        <x:v>41</x:v>
      </x:c>
      <x:c r="I470" s="128" t="n">
        <x:f>D470/SUMIF($C$4:$C$802,C470,$D$4:$D$802)</x:f>
        <x:v>0.037631575955888105</x:v>
      </x:c>
      <x:c r="J470" s="103" t="n">
        <x:f>(D470/SUMIF($A$4:$A$802,A470,$D$4:$D$802))/(SUMIF($C$4:$C$802,C470,$D$4:$D$802)/SUM($D$4:$D$802))</x:f>
        <x:v>0.9816687191942625</x:v>
      </x:c>
    </x:row>
    <x:row r="471">
      <x:c r="A471" s="101" t="str">
        <x:v>兵庫県</x:v>
      </x:c>
      <x:c r="B471" s="101" t="str">
        <x:v>J</x:v>
      </x:c>
      <x:c r="C471" s="101" t="str">
        <x:v>金融業，保険業</x:v>
      </x:c>
      <x:c r="D471" s="102" t="n">
        <x:v>41775</x:v>
      </x:c>
      <x:c r="E471" s="102" t="n">
        <x:f>1+COUNTIFS($C$4:$C$802,C471,$D$4:$D$802,"&gt;"&amp;D471)</x:f>
        <x:v>9</x:v>
      </x:c>
      <x:c r="F471" s="102" t="n">
        <x:v>5465002</x:v>
      </x:c>
      <x:c r="G471" s="126" t="n">
        <x:f>D471/F471*10000</x:f>
        <x:v>76.44096013139611</x:v>
      </x:c>
      <x:c r="H471" s="127" t="n">
        <x:f>1+COUNTIFS($C$4:$C$802,C471,$G$4:$G$802,"&gt;"&amp;G471)</x:f>
        <x:v>44</x:v>
      </x:c>
      <x:c r="I471" s="128" t="n">
        <x:f>D471/SUMIF($C$4:$C$802,C471,$D$4:$D$802)</x:f>
        <x:v>0.02795368955244654</x:v>
      </x:c>
      <x:c r="J471" s="103" t="n">
        <x:f>(D471/SUMIF($A$4:$A$802,A471,$D$4:$D$802))/(SUMIF($C$4:$C$802,C471,$D$4:$D$802)/SUM($D$4:$D$802))</x:f>
        <x:v>0.7292084352744356</x:v>
      </x:c>
    </x:row>
    <x:row r="472">
      <x:c r="A472" s="101" t="str">
        <x:v>兵庫県</x:v>
      </x:c>
      <x:c r="B472" s="101" t="str">
        <x:v>K</x:v>
      </x:c>
      <x:c r="C472" s="101" t="str">
        <x:v>不動産業，物品賃貸業</x:v>
      </x:c>
      <x:c r="D472" s="102" t="n">
        <x:v>60592</x:v>
      </x:c>
      <x:c r="E472" s="102" t="n">
        <x:f>1+COUNTIFS($C$4:$C$802,C472,$D$4:$D$802,"&gt;"&amp;D472)</x:f>
        <x:v>8</x:v>
      </x:c>
      <x:c r="F472" s="102" t="n">
        <x:v>5465002</x:v>
      </x:c>
      <x:c r="G472" s="126" t="n">
        <x:f>D472/F472*10000</x:f>
        <x:v>110.87278650584209</x:v>
      </x:c>
      <x:c r="H472" s="127" t="n">
        <x:f>1+COUNTIFS($C$4:$C$802,C472,$G$4:$G$802,"&gt;"&amp;G472)</x:f>
        <x:v>12</x:v>
      </x:c>
      <x:c r="I472" s="128" t="n">
        <x:f>D472/SUMIF($C$4:$C$802,C472,$D$4:$D$802)</x:f>
        <x:v>0.03744550835590042</x:v>
      </x:c>
      <x:c r="J472" s="103" t="n">
        <x:f>(D472/SUMIF($A$4:$A$802,A472,$D$4:$D$802))/(SUMIF($C$4:$C$802,C472,$D$4:$D$802)/SUM($D$4:$D$802))</x:f>
        <x:v>0.9768149032717626</x:v>
      </x:c>
    </x:row>
    <x:row r="473">
      <x:c r="A473" s="101" t="str">
        <x:v>兵庫県</x:v>
      </x:c>
      <x:c r="B473" s="101" t="str">
        <x:v>L</x:v>
      </x:c>
      <x:c r="C473" s="101" t="str">
        <x:v>学術研究，専門・技術サービス業</x:v>
      </x:c>
      <x:c r="D473" s="102" t="n">
        <x:v>68990</x:v>
      </x:c>
      <x:c r="E473" s="102" t="n">
        <x:f>1+COUNTIFS($C$4:$C$802,C473,$D$4:$D$802,"&gt;"&amp;D473)</x:f>
        <x:v>6</x:v>
      </x:c>
      <x:c r="F473" s="102" t="n">
        <x:v>5465002</x:v>
      </x:c>
      <x:c r="G473" s="126" t="n">
        <x:f>D473/F473*10000</x:f>
        <x:v>126.23966102848637</x:v>
      </x:c>
      <x:c r="H473" s="127" t="n">
        <x:f>1+COUNTIFS($C$4:$C$802,C473,$G$4:$G$802,"&gt;"&amp;G473)</x:f>
        <x:v>15</x:v>
      </x:c>
      <x:c r="I473" s="128" t="n">
        <x:f>D473/SUMIF($C$4:$C$802,C473,$D$4:$D$802)</x:f>
        <x:v>0.032559039510694124</x:v>
      </x:c>
      <x:c r="J473" s="103" t="n">
        <x:f>(D473/SUMIF($A$4:$A$802,A473,$D$4:$D$802))/(SUMIF($C$4:$C$802,C473,$D$4:$D$802)/SUM($D$4:$D$802))</x:f>
        <x:v>0.8493449929422225</x:v>
      </x:c>
    </x:row>
    <x:row r="474">
      <x:c r="A474" s="101" t="str">
        <x:v>兵庫県</x:v>
      </x:c>
      <x:c r="B474" s="101" t="str">
        <x:v>M</x:v>
      </x:c>
      <x:c r="C474" s="101" t="str">
        <x:v>宿泊業，飲食サービス業</x:v>
      </x:c>
      <x:c r="D474" s="102" t="n">
        <x:v>194110</x:v>
      </x:c>
      <x:c r="E474" s="102" t="n">
        <x:f>1+COUNTIFS($C$4:$C$802,C474,$D$4:$D$802,"&gt;"&amp;D474)</x:f>
        <x:v>7</x:v>
      </x:c>
      <x:c r="F474" s="102" t="n">
        <x:v>5465002</x:v>
      </x:c>
      <x:c r="G474" s="126" t="n">
        <x:f>D474/F474*10000</x:f>
        <x:v>355.18742719581803</x:v>
      </x:c>
      <x:c r="H474" s="127" t="n">
        <x:f>1+COUNTIFS($C$4:$C$802,C474,$G$4:$G$802,"&gt;"&amp;G474)</x:f>
        <x:v>18</x:v>
      </x:c>
      <x:c r="I474" s="128" t="n">
        <x:f>D474/SUMIF($C$4:$C$802,C474,$D$4:$D$802)</x:f>
        <x:v>0.04148767434986222</x:v>
      </x:c>
      <x:c r="J474" s="103" t="n">
        <x:f>(D474/SUMIF($A$4:$A$802,A474,$D$4:$D$802))/(SUMIF($C$4:$C$802,C474,$D$4:$D$802)/SUM($D$4:$D$802))</x:f>
        <x:v>1.0822600730067338</x:v>
      </x:c>
    </x:row>
    <x:row r="475">
      <x:c r="A475" s="101" t="str">
        <x:v>兵庫県</x:v>
      </x:c>
      <x:c r="B475" s="101" t="str">
        <x:v>N</x:v>
      </x:c>
      <x:c r="C475" s="101" t="str">
        <x:v>生活関連サービス業，娯楽業</x:v>
      </x:c>
      <x:c r="D475" s="102" t="n">
        <x:v>85553</x:v>
      </x:c>
      <x:c r="E475" s="102" t="n">
        <x:f>1+COUNTIFS($C$4:$C$802,C475,$D$4:$D$802,"&gt;"&amp;D475)</x:f>
        <x:v>8</x:v>
      </x:c>
      <x:c r="F475" s="102" t="n">
        <x:v>5465002</x:v>
      </x:c>
      <x:c r="G475" s="126" t="n">
        <x:f>D475/F475*10000</x:f>
        <x:v>156.54706073300613</x:v>
      </x:c>
      <x:c r="H475" s="127" t="n">
        <x:f>1+COUNTIFS($C$4:$C$802,C475,$G$4:$G$802,"&gt;"&amp;G475)</x:f>
        <x:v>40</x:v>
      </x:c>
      <x:c r="I475" s="128" t="n">
        <x:f>D475/SUMIF($C$4:$C$802,C475,$D$4:$D$802)</x:f>
        <x:v>0.03931412469515964</x:v>
      </x:c>
      <x:c r="J475" s="103" t="n">
        <x:f>(D475/SUMIF($A$4:$A$802,A475,$D$4:$D$802))/(SUMIF($C$4:$C$802,C475,$D$4:$D$802)/SUM($D$4:$D$802))</x:f>
        <x:v>1.0255601966013939</x:v>
      </x:c>
    </x:row>
    <x:row r="476">
      <x:c r="A476" s="101" t="str">
        <x:v>兵庫県</x:v>
      </x:c>
      <x:c r="B476" s="101" t="str">
        <x:v>O</x:v>
      </x:c>
      <x:c r="C476" s="101" t="str">
        <x:v>教育，学習支援業</x:v>
      </x:c>
      <x:c r="D476" s="102" t="n">
        <x:v>93819</x:v>
      </x:c>
      <x:c r="E476" s="102" t="n">
        <x:f>1+COUNTIFS($C$4:$C$802,C476,$D$4:$D$802,"&gt;"&amp;D476)</x:f>
        <x:v>5</x:v>
      </x:c>
      <x:c r="F476" s="102" t="n">
        <x:v>5465002</x:v>
      </x:c>
      <x:c r="G476" s="126" t="n">
        <x:f>D476/F476*10000</x:f>
        <x:v>171.67239829006468</x:v>
      </x:c>
      <x:c r="H476" s="127" t="n">
        <x:f>1+COUNTIFS($C$4:$C$802,C476,$G$4:$G$802,"&gt;"&amp;G476)</x:f>
        <x:v>4</x:v>
      </x:c>
      <x:c r="I476" s="128" t="n">
        <x:f>D476/SUMIF($C$4:$C$802,C476,$D$4:$D$802)</x:f>
        <x:v>0.048094204540444774</x:v>
      </x:c>
      <x:c r="J476" s="103" t="n">
        <x:f>(D476/SUMIF($A$4:$A$802,A476,$D$4:$D$802))/(SUMIF($C$4:$C$802,C476,$D$4:$D$802)/SUM($D$4:$D$802))</x:f>
        <x:v>1.2546000259789305</x:v>
      </x:c>
    </x:row>
    <x:row r="477">
      <x:c r="A477" s="101" t="str">
        <x:v>兵庫県</x:v>
      </x:c>
      <x:c r="B477" s="101" t="str">
        <x:v>P</x:v>
      </x:c>
      <x:c r="C477" s="101" t="str">
        <x:v>医療，福祉</x:v>
      </x:c>
      <x:c r="D477" s="102" t="n">
        <x:v>352550</x:v>
      </x:c>
      <x:c r="E477" s="102" t="n">
        <x:f>1+COUNTIFS($C$4:$C$802,C477,$D$4:$D$802,"&gt;"&amp;D477)</x:f>
        <x:v>8</x:v>
      </x:c>
      <x:c r="F477" s="102" t="n">
        <x:v>5465002</x:v>
      </x:c>
      <x:c r="G477" s="126" t="n">
        <x:f>D477/F477*10000</x:f>
        <x:v>645.1049789185805</x:v>
      </x:c>
      <x:c r="H477" s="127" t="n">
        <x:f>1+COUNTIFS($C$4:$C$802,C477,$G$4:$G$802,"&gt;"&amp;G477)</x:f>
        <x:v>24</x:v>
      </x:c>
      <x:c r="I477" s="128" t="n">
        <x:f>D477/SUMIF($C$4:$C$802,C477,$D$4:$D$802)</x:f>
        <x:v>0.043191963930207765</x:v>
      </x:c>
      <x:c r="J477" s="103" t="n">
        <x:f>(D477/SUMIF($A$4:$A$802,A477,$D$4:$D$802))/(SUMIF($C$4:$C$802,C477,$D$4:$D$802)/SUM($D$4:$D$802))</x:f>
        <x:v>1.1267186885968727</x:v>
      </x:c>
    </x:row>
    <x:row r="478">
      <x:c r="A478" s="101" t="str">
        <x:v>兵庫県</x:v>
      </x:c>
      <x:c r="B478" s="101" t="str">
        <x:v>Q</x:v>
      </x:c>
      <x:c r="C478" s="101" t="str">
        <x:v>複合サービス事業</x:v>
      </x:c>
      <x:c r="D478" s="102" t="n">
        <x:v>16297</x:v>
      </x:c>
      <x:c r="E478" s="102" t="n">
        <x:f>1+COUNTIFS($C$4:$C$802,C478,$D$4:$D$802,"&gt;"&amp;D478)</x:f>
        <x:v>7</x:v>
      </x:c>
      <x:c r="F478" s="102" t="n">
        <x:v>5465002</x:v>
      </x:c>
      <x:c r="G478" s="126" t="n">
        <x:f>D478/F478*10000</x:f>
        <x:v>29.820666122354574</x:v>
      </x:c>
      <x:c r="H478" s="127" t="n">
        <x:f>1+COUNTIFS($C$4:$C$802,C478,$G$4:$G$802,"&gt;"&amp;G478)</x:f>
        <x:v>39</x:v>
      </x:c>
      <x:c r="I478" s="128" t="n">
        <x:f>D478/SUMIF($C$4:$C$802,C478,$D$4:$D$802)</x:f>
        <x:v>0.037381012454985436</x:v>
      </x:c>
      <x:c r="J478" s="103" t="n">
        <x:f>(D478/SUMIF($A$4:$A$802,A478,$D$4:$D$802))/(SUMIF($C$4:$C$802,C478,$D$4:$D$802)/SUM($D$4:$D$802))</x:f>
        <x:v>0.9751324436129188</x:v>
      </x:c>
    </x:row>
    <x:row r="479">
      <x:c r="A479" s="101" t="str">
        <x:v>兵庫県</x:v>
      </x:c>
      <x:c r="B479" s="101" t="str">
        <x:v>R</x:v>
      </x:c>
      <x:c r="C479" s="101" t="str">
        <x:v>サービス業（他に分類されないもの）</x:v>
      </x:c>
      <x:c r="D479" s="102" t="n">
        <x:v>186397</x:v>
      </x:c>
      <x:c r="E479" s="102" t="n">
        <x:f>1+COUNTIFS($C$4:$C$802,C479,$D$4:$D$802,"&gt;"&amp;D479)</x:f>
        <x:v>9</x:v>
      </x:c>
      <x:c r="F479" s="102" t="n">
        <x:v>5465002</x:v>
      </x:c>
      <x:c r="G479" s="126" t="n">
        <x:f>D479/F479*10000</x:f>
        <x:v>341.073983138524</x:v>
      </x:c>
      <x:c r="H479" s="127" t="n">
        <x:f>1+COUNTIFS($C$4:$C$802,C479,$G$4:$G$802,"&gt;"&amp;G479)</x:f>
        <x:v>23</x:v>
      </x:c>
      <x:c r="I479" s="128" t="n">
        <x:f>D479/SUMIF($C$4:$C$802,C479,$D$4:$D$802)</x:f>
        <x:v>0.0356104316554322</x:v>
      </x:c>
      <x:c r="J479" s="103" t="n">
        <x:f>(D479/SUMIF($A$4:$A$802,A479,$D$4:$D$802))/(SUMIF($C$4:$C$802,C479,$D$4:$D$802)/SUM($D$4:$D$802))</x:f>
        <x:v>0.92894453514571</x:v>
      </x:c>
    </x:row>
    <x:row r="480">
      <x:c r="A480" s="101" t="str">
        <x:v>奈良県</x:v>
      </x:c>
      <x:c r="B480" s="101" t="str">
        <x:v>AB</x:v>
      </x:c>
      <x:c r="C480" s="101" t="str">
        <x:v>農林漁業</x:v>
      </x:c>
      <x:c r="D480" s="102" t="n">
        <x:v>1994</x:v>
      </x:c>
      <x:c r="E480" s="102" t="n">
        <x:f>1+COUNTIFS($C$4:$C$802,C480,$D$4:$D$802,"&gt;"&amp;D480)</x:f>
        <x:v>47</x:v>
      </x:c>
      <x:c r="F480" s="102" t="n">
        <x:v>1324473</x:v>
      </x:c>
      <x:c r="G480" s="126" t="n">
        <x:f>D480/F480*10000</x:f>
        <x:v>15.055044534694176</x:v>
      </x:c>
      <x:c r="H480" s="127" t="n">
        <x:f>1+COUNTIFS($C$4:$C$802,C480,$G$4:$G$802,"&gt;"&amp;G480)</x:f>
        <x:v>42</x:v>
      </x:c>
      <x:c r="I480" s="128" t="n">
        <x:f>D480/SUMIF($C$4:$C$802,C480,$D$4:$D$802)</x:f>
        <x:v>0.004394945592160511</x:v>
      </x:c>
      <x:c r="J480" s="103" t="n">
        <x:f>(D480/SUMIF($A$4:$A$802,A480,$D$4:$D$802))/(SUMIF($C$4:$C$802,C480,$D$4:$D$802)/SUM($D$4:$D$802))</x:f>
        <x:v>0.5724377713890403</x:v>
      </x:c>
    </x:row>
    <x:row r="481">
      <x:c r="A481" s="101" t="str">
        <x:v>奈良県</x:v>
      </x:c>
      <x:c r="B481" s="101" t="str">
        <x:v>C</x:v>
      </x:c>
      <x:c r="C481" s="101" t="str">
        <x:v>鉱業，採石業，砂利採取業</x:v>
      </x:c>
      <x:c r="D481" s="102" t="n">
        <x:v>85</x:v>
      </x:c>
      <x:c r="E481" s="102" t="n">
        <x:f>1+COUNTIFS($C$4:$C$802,C481,$D$4:$D$802,"&gt;"&amp;D481)</x:f>
        <x:v>46</x:v>
      </x:c>
      <x:c r="F481" s="102" t="n">
        <x:v>1324473</x:v>
      </x:c>
      <x:c r="G481" s="126" t="n">
        <x:f>D481/F481*10000</x:f>
        <x:v>0.6417646867848571</x:v>
      </x:c>
      <x:c r="H481" s="127" t="n">
        <x:f>1+COUNTIFS($C$4:$C$802,C481,$G$4:$G$802,"&gt;"&amp;G481)</x:f>
        <x:v>40</x:v>
      </x:c>
      <x:c r="I481" s="128" t="n">
        <x:f>D481/SUMIF($C$4:$C$802,C481,$D$4:$D$802)</x:f>
        <x:v>0.004315377976341575</x:v>
      </x:c>
      <x:c r="J481" s="103" t="n">
        <x:f>(D481/SUMIF($A$4:$A$802,A481,$D$4:$D$802))/(SUMIF($C$4:$C$802,C481,$D$4:$D$802)/SUM($D$4:$D$802))</x:f>
        <x:v>0.5620741598905552</x:v>
      </x:c>
    </x:row>
    <x:row r="482">
      <x:c r="A482" s="101" t="str">
        <x:v>奈良県</x:v>
      </x:c>
      <x:c r="B482" s="101" t="str">
        <x:v>D</x:v>
      </x:c>
      <x:c r="C482" s="101" t="str">
        <x:v>建設業</x:v>
      </x:c>
      <x:c r="D482" s="102" t="n">
        <x:v>21134</x:v>
      </x:c>
      <x:c r="E482" s="102" t="n">
        <x:f>1+COUNTIFS($C$4:$C$802,C482,$D$4:$D$802,"&gt;"&amp;D482)</x:f>
        <x:v>45</x:v>
      </x:c>
      <x:c r="F482" s="102" t="n">
        <x:v>1324473</x:v>
      </x:c>
      <x:c r="G482" s="126" t="n">
        <x:f>D482/F482*10000</x:f>
        <x:v>159.56535165307258</x:v>
      </x:c>
      <x:c r="H482" s="127" t="n">
        <x:f>1+COUNTIFS($C$4:$C$802,C482,$G$4:$G$802,"&gt;"&amp;G482)</x:f>
        <x:v>47</x:v>
      </x:c>
      <x:c r="I482" s="128" t="n">
        <x:f>D482/SUMIF($C$4:$C$802,C482,$D$4:$D$802)</x:f>
        <x:v>0.00565471054191199</x:v>
      </x:c>
      <x:c r="J482" s="103" t="n">
        <x:f>(D482/SUMIF($A$4:$A$802,A482,$D$4:$D$802))/(SUMIF($C$4:$C$802,C482,$D$4:$D$802)/SUM($D$4:$D$802))</x:f>
        <x:v>0.7365210404961919</x:v>
      </x:c>
    </x:row>
    <x:row r="483">
      <x:c r="A483" s="101" t="str">
        <x:v>奈良県</x:v>
      </x:c>
      <x:c r="B483" s="101" t="str">
        <x:v>E</x:v>
      </x:c>
      <x:c r="C483" s="101" t="str">
        <x:v>製造業</x:v>
      </x:c>
      <x:c r="D483" s="102" t="n">
        <x:v>70496</x:v>
      </x:c>
      <x:c r="E483" s="102" t="n">
        <x:f>1+COUNTIFS($C$4:$C$802,C483,$D$4:$D$802,"&gt;"&amp;D483)</x:f>
        <x:v>35</x:v>
      </x:c>
      <x:c r="F483" s="102" t="n">
        <x:v>1324473</x:v>
      </x:c>
      <x:c r="G483" s="126" t="n">
        <x:f>D483/F483*10000</x:f>
        <x:v>532.2569807010034</x:v>
      </x:c>
      <x:c r="H483" s="127" t="n">
        <x:f>1+COUNTIFS($C$4:$C$802,C483,$G$4:$G$802,"&gt;"&amp;G483)</x:f>
        <x:v>36</x:v>
      </x:c>
      <x:c r="I483" s="128" t="n">
        <x:f>D483/SUMIF($C$4:$C$802,C483,$D$4:$D$802)</x:f>
        <x:v>0.00800759412893049</x:v>
      </x:c>
      <x:c r="J483" s="103" t="n">
        <x:f>(D483/SUMIF($A$4:$A$802,A483,$D$4:$D$802))/(SUMIF($C$4:$C$802,C483,$D$4:$D$802)/SUM($D$4:$D$802))</x:f>
        <x:v>1.042982044084773</x:v>
      </x:c>
    </x:row>
    <x:row r="484">
      <x:c r="A484" s="101" t="str">
        <x:v>奈良県</x:v>
      </x:c>
      <x:c r="B484" s="101" t="str">
        <x:v>F</x:v>
      </x:c>
      <x:c r="C484" s="101" t="str">
        <x:v>電気・ガス・熱供給・水道業</x:v>
      </x:c>
      <x:c r="D484" s="102" t="n">
        <x:v>1108</x:v>
      </x:c>
      <x:c r="E484" s="102" t="n">
        <x:f>1+COUNTIFS($C$4:$C$802,C484,$D$4:$D$802,"&gt;"&amp;D484)</x:f>
        <x:v>43</x:v>
      </x:c>
      <x:c r="F484" s="102" t="n">
        <x:v>1324473</x:v>
      </x:c>
      <x:c r="G484" s="126" t="n">
        <x:f>D484/F484*10000</x:f>
        <x:v>8.365591446560256</x:v>
      </x:c>
      <x:c r="H484" s="127" t="n">
        <x:f>1+COUNTIFS($C$4:$C$802,C484,$G$4:$G$802,"&gt;"&amp;G484)</x:f>
        <x:v>44</x:v>
      </x:c>
      <x:c r="I484" s="128" t="n">
        <x:f>D484/SUMIF($C$4:$C$802,C484,$D$4:$D$802)</x:f>
        <x:v>0.005481105521174975</x:v>
      </x:c>
      <x:c r="J484" s="103" t="n">
        <x:f>(D484/SUMIF($A$4:$A$802,A484,$D$4:$D$802))/(SUMIF($C$4:$C$802,C484,$D$4:$D$802)/SUM($D$4:$D$802))</x:f>
        <x:v>0.7139091402829308</x:v>
      </x:c>
    </x:row>
    <x:row r="485">
      <x:c r="A485" s="101" t="str">
        <x:v>奈良県</x:v>
      </x:c>
      <x:c r="B485" s="101" t="str">
        <x:v>G</x:v>
      </x:c>
      <x:c r="C485" s="101" t="str">
        <x:v>情報通信業</x:v>
      </x:c>
      <x:c r="D485" s="102" t="n">
        <x:v>2278</x:v>
      </x:c>
      <x:c r="E485" s="102" t="n">
        <x:f>1+COUNTIFS($C$4:$C$802,C485,$D$4:$D$802,"&gt;"&amp;D485)</x:f>
        <x:v>47</x:v>
      </x:c>
      <x:c r="F485" s="102" t="n">
        <x:v>1324473</x:v>
      </x:c>
      <x:c r="G485" s="126" t="n">
        <x:f>D485/F485*10000</x:f>
        <x:v>17.199293605834168</x:v>
      </x:c>
      <x:c r="H485" s="127" t="n">
        <x:f>1+COUNTIFS($C$4:$C$802,C485,$G$4:$G$802,"&gt;"&amp;G485)</x:f>
        <x:v>47</x:v>
      </x:c>
      <x:c r="I485" s="128" t="n">
        <x:f>D485/SUMIF($C$4:$C$802,C485,$D$4:$D$802)</x:f>
        <x:v>0.001146544838308489</x:v>
      </x:c>
      <x:c r="J485" s="103" t="n">
        <x:f>(D485/SUMIF($A$4:$A$802,A485,$D$4:$D$802))/(SUMIF($C$4:$C$802,C485,$D$4:$D$802)/SUM($D$4:$D$802))</x:f>
        <x:v>0.14933644985495168</x:v>
      </x:c>
    </x:row>
    <x:row r="486">
      <x:c r="A486" s="101" t="str">
        <x:v>奈良県</x:v>
      </x:c>
      <x:c r="B486" s="101" t="str">
        <x:v>H</x:v>
      </x:c>
      <x:c r="C486" s="101" t="str">
        <x:v>運輸業，郵便業</x:v>
      </x:c>
      <x:c r="D486" s="102" t="n">
        <x:v>20244</x:v>
      </x:c>
      <x:c r="E486" s="102" t="n">
        <x:f>1+COUNTIFS($C$4:$C$802,C486,$D$4:$D$802,"&gt;"&amp;D486)</x:f>
        <x:v>39</x:v>
      </x:c>
      <x:c r="F486" s="102" t="n">
        <x:v>1324473</x:v>
      </x:c>
      <x:c r="G486" s="126" t="n">
        <x:f>D486/F486*10000</x:f>
        <x:v>152.84569787379584</x:v>
      </x:c>
      <x:c r="H486" s="127" t="n">
        <x:f>1+COUNTIFS($C$4:$C$802,C486,$G$4:$G$802,"&gt;"&amp;G486)</x:f>
        <x:v>47</x:v>
      </x:c>
      <x:c r="I486" s="128" t="n">
        <x:f>D486/SUMIF($C$4:$C$802,C486,$D$4:$D$802)</x:f>
        <x:v>0.006200811459677879</x:v>
      </x:c>
      <x:c r="J486" s="103" t="n">
        <x:f>(D486/SUMIF($A$4:$A$802,A486,$D$4:$D$802))/(SUMIF($C$4:$C$802,C486,$D$4:$D$802)/SUM($D$4:$D$802))</x:f>
        <x:v>0.8076502014298407</x:v>
      </x:c>
    </x:row>
    <x:row r="487">
      <x:c r="A487" s="101" t="str">
        <x:v>奈良県</x:v>
      </x:c>
      <x:c r="B487" s="101" t="str">
        <x:v>I</x:v>
      </x:c>
      <x:c r="C487" s="101" t="str">
        <x:v>卸売業，小売業</x:v>
      </x:c>
      <x:c r="D487" s="102" t="n">
        <x:v>92250</x:v>
      </x:c>
      <x:c r="E487" s="102" t="n">
        <x:f>1+COUNTIFS($C$4:$C$802,C487,$D$4:$D$802,"&gt;"&amp;D487)</x:f>
        <x:v>33</x:v>
      </x:c>
      <x:c r="F487" s="102" t="n">
        <x:v>1324473</x:v>
      </x:c>
      <x:c r="G487" s="126" t="n">
        <x:f>D487/F487*10000</x:f>
        <x:v>696.5034394812125</x:v>
      </x:c>
      <x:c r="H487" s="127" t="n">
        <x:f>1+COUNTIFS($C$4:$C$802,C487,$G$4:$G$802,"&gt;"&amp;G487)</x:f>
        <x:v>47</x:v>
      </x:c>
      <x:c r="I487" s="128" t="n">
        <x:f>D487/SUMIF($C$4:$C$802,C487,$D$4:$D$802)</x:f>
        <x:v>0.007944419891139488</x:v>
      </x:c>
      <x:c r="J487" s="103" t="n">
        <x:f>(D487/SUMIF($A$4:$A$802,A487,$D$4:$D$802))/(SUMIF($C$4:$C$802,C487,$D$4:$D$802)/SUM($D$4:$D$802))</x:f>
        <x:v>1.0347536555570997</x:v>
      </x:c>
    </x:row>
    <x:row r="488">
      <x:c r="A488" s="101" t="str">
        <x:v>奈良県</x:v>
      </x:c>
      <x:c r="B488" s="101" t="str">
        <x:v>J</x:v>
      </x:c>
      <x:c r="C488" s="101" t="str">
        <x:v>金融業，保険業</x:v>
      </x:c>
      <x:c r="D488" s="102" t="n">
        <x:v>10797</x:v>
      </x:c>
      <x:c r="E488" s="102" t="n">
        <x:f>1+COUNTIFS($C$4:$C$802,C488,$D$4:$D$802,"&gt;"&amp;D488)</x:f>
        <x:v>36</x:v>
      </x:c>
      <x:c r="F488" s="102" t="n">
        <x:v>1324473</x:v>
      </x:c>
      <x:c r="G488" s="126" t="n">
        <x:f>D488/F488*10000</x:f>
        <x:v>81.51921556724825</x:v>
      </x:c>
      <x:c r="H488" s="127" t="n">
        <x:f>1+COUNTIFS($C$4:$C$802,C488,$G$4:$G$802,"&gt;"&amp;G488)</x:f>
        <x:v>42</x:v>
      </x:c>
      <x:c r="I488" s="128" t="n">
        <x:f>D488/SUMIF($C$4:$C$802,C488,$D$4:$D$802)</x:f>
        <x:v>0.007224799188456381</x:v>
      </x:c>
      <x:c r="J488" s="103" t="n">
        <x:f>(D488/SUMIF($A$4:$A$802,A488,$D$4:$D$802))/(SUMIF($C$4:$C$802,C488,$D$4:$D$802)/SUM($D$4:$D$802))</x:f>
        <x:v>0.941023696300237</x:v>
      </x:c>
    </x:row>
    <x:row r="489">
      <x:c r="A489" s="101" t="str">
        <x:v>奈良県</x:v>
      </x:c>
      <x:c r="B489" s="101" t="str">
        <x:v>K</x:v>
      </x:c>
      <x:c r="C489" s="101" t="str">
        <x:v>不動産業，物品賃貸業</x:v>
      </x:c>
      <x:c r="D489" s="102" t="n">
        <x:v>11151</x:v>
      </x:c>
      <x:c r="E489" s="102" t="n">
        <x:f>1+COUNTIFS($C$4:$C$802,C489,$D$4:$D$802,"&gt;"&amp;D489)</x:f>
        <x:v>30</x:v>
      </x:c>
      <x:c r="F489" s="102" t="n">
        <x:v>1324473</x:v>
      </x:c>
      <x:c r="G489" s="126" t="n">
        <x:f>D489/F489*10000</x:f>
        <x:v>84.19197673338755</x:v>
      </x:c>
      <x:c r="H489" s="127" t="n">
        <x:f>1+COUNTIFS($C$4:$C$802,C489,$G$4:$G$802,"&gt;"&amp;G489)</x:f>
        <x:v>29</x:v>
      </x:c>
      <x:c r="I489" s="128" t="n">
        <x:f>D489/SUMIF($C$4:$C$802,C489,$D$4:$D$802)</x:f>
        <x:v>0.006891254021597663</x:v>
      </x:c>
      <x:c r="J489" s="103" t="n">
        <x:f>(D489/SUMIF($A$4:$A$802,A489,$D$4:$D$802))/(SUMIF($C$4:$C$802,C489,$D$4:$D$802)/SUM($D$4:$D$802))</x:f>
        <x:v>0.8975797336912872</x:v>
      </x:c>
    </x:row>
    <x:row r="490">
      <x:c r="A490" s="101" t="str">
        <x:v>奈良県</x:v>
      </x:c>
      <x:c r="B490" s="101" t="str">
        <x:v>L</x:v>
      </x:c>
      <x:c r="C490" s="101" t="str">
        <x:v>学術研究，専門・技術サービス業</x:v>
      </x:c>
      <x:c r="D490" s="102" t="n">
        <x:v>8486</x:v>
      </x:c>
      <x:c r="E490" s="102" t="n">
        <x:f>1+COUNTIFS($C$4:$C$802,C490,$D$4:$D$802,"&gt;"&amp;D490)</x:f>
        <x:v>39</x:v>
      </x:c>
      <x:c r="F490" s="102" t="n">
        <x:v>1324473</x:v>
      </x:c>
      <x:c r="G490" s="126" t="n">
        <x:f>D490/F490*10000</x:f>
        <x:v>64.07076625948585</x:v>
      </x:c>
      <x:c r="H490" s="127" t="n">
        <x:f>1+COUNTIFS($C$4:$C$802,C490,$G$4:$G$802,"&gt;"&amp;G490)</x:f>
        <x:v>47</x:v>
      </x:c>
      <x:c r="I490" s="128" t="n">
        <x:f>D490/SUMIF($C$4:$C$802,C490,$D$4:$D$802)</x:f>
        <x:v>0.004004870405678365</x:v>
      </x:c>
      <x:c r="J490" s="103" t="n">
        <x:f>(D490/SUMIF($A$4:$A$802,A490,$D$4:$D$802))/(SUMIF($C$4:$C$802,C490,$D$4:$D$802)/SUM($D$4:$D$802))</x:f>
        <x:v>0.5216308237848869</x:v>
      </x:c>
    </x:row>
    <x:row r="491">
      <x:c r="A491" s="101" t="str">
        <x:v>奈良県</x:v>
      </x:c>
      <x:c r="B491" s="101" t="str">
        <x:v>M</x:v>
      </x:c>
      <x:c r="C491" s="101" t="str">
        <x:v>宿泊業，飲食サービス業</x:v>
      </x:c>
      <x:c r="D491" s="102" t="n">
        <x:v>39555</x:v>
      </x:c>
      <x:c r="E491" s="102" t="n">
        <x:f>1+COUNTIFS($C$4:$C$802,C491,$D$4:$D$802,"&gt;"&amp;D491)</x:f>
        <x:v>32</x:v>
      </x:c>
      <x:c r="F491" s="102" t="n">
        <x:v>1324473</x:v>
      </x:c>
      <x:c r="G491" s="126" t="n">
        <x:f>D491/F491*10000</x:f>
        <x:v>298.64708453852967</x:v>
      </x:c>
      <x:c r="H491" s="127" t="n">
        <x:f>1+COUNTIFS($C$4:$C$802,C491,$G$4:$G$802,"&gt;"&amp;G491)</x:f>
        <x:v>43</x:v>
      </x:c>
      <x:c r="I491" s="128" t="n">
        <x:f>D491/SUMIF($C$4:$C$802,C491,$D$4:$D$802)</x:f>
        <x:v>0.00845420101441863</x:v>
      </x:c>
      <x:c r="J491" s="103" t="n">
        <x:f>(D491/SUMIF($A$4:$A$802,A491,$D$4:$D$802))/(SUMIF($C$4:$C$802,C491,$D$4:$D$802)/SUM($D$4:$D$802))</x:f>
        <x:v>1.1011521954222219</x:v>
      </x:c>
    </x:row>
    <x:row r="492">
      <x:c r="A492" s="101" t="str">
        <x:v>奈良県</x:v>
      </x:c>
      <x:c r="B492" s="101" t="str">
        <x:v>N</x:v>
      </x:c>
      <x:c r="C492" s="101" t="str">
        <x:v>生活関連サービス業，娯楽業</x:v>
      </x:c>
      <x:c r="D492" s="102" t="n">
        <x:v>20017</x:v>
      </x:c>
      <x:c r="E492" s="102" t="n">
        <x:f>1+COUNTIFS($C$4:$C$802,C492,$D$4:$D$802,"&gt;"&amp;D492)</x:f>
        <x:v>33</x:v>
      </x:c>
      <x:c r="F492" s="102" t="n">
        <x:v>1324473</x:v>
      </x:c>
      <x:c r="G492" s="126" t="n">
        <x:f>D492/F492*10000</x:f>
        <x:v>151.131808651441</x:v>
      </x:c>
      <x:c r="H492" s="127" t="n">
        <x:f>1+COUNTIFS($C$4:$C$802,C492,$G$4:$G$802,"&gt;"&amp;G492)</x:f>
        <x:v>44</x:v>
      </x:c>
      <x:c r="I492" s="128" t="n">
        <x:f>D492/SUMIF($C$4:$C$802,C492,$D$4:$D$802)</x:f>
        <x:v>0.009198401388881868</x:v>
      </x:c>
      <x:c r="J492" s="103" t="n">
        <x:f>(D492/SUMIF($A$4:$A$802,A492,$D$4:$D$802))/(SUMIF($C$4:$C$802,C492,$D$4:$D$802)/SUM($D$4:$D$802))</x:f>
        <x:v>1.1980836351616624</x:v>
      </x:c>
    </x:row>
    <x:row r="493">
      <x:c r="A493" s="101" t="str">
        <x:v>奈良県</x:v>
      </x:c>
      <x:c r="B493" s="101" t="str">
        <x:v>O</x:v>
      </x:c>
      <x:c r="C493" s="101" t="str">
        <x:v>教育，学習支援業</x:v>
      </x:c>
      <x:c r="D493" s="102" t="n">
        <x:v>19789</x:v>
      </x:c>
      <x:c r="E493" s="102" t="n">
        <x:f>1+COUNTIFS($C$4:$C$802,C493,$D$4:$D$802,"&gt;"&amp;D493)</x:f>
        <x:v>24</x:v>
      </x:c>
      <x:c r="F493" s="102" t="n">
        <x:v>1324473</x:v>
      </x:c>
      <x:c r="G493" s="126" t="n">
        <x:f>D493/F493*10000</x:f>
        <x:v>149.4103692563004</x:v>
      </x:c>
      <x:c r="H493" s="127" t="n">
        <x:f>1+COUNTIFS($C$4:$C$802,C493,$G$4:$G$802,"&gt;"&amp;G493)</x:f>
        <x:v>13</x:v>
      </x:c>
      <x:c r="I493" s="128" t="n">
        <x:f>D493/SUMIF($C$4:$C$802,C493,$D$4:$D$802)</x:f>
        <x:v>0.010144386677014908</x:v>
      </x:c>
      <x:c r="J493" s="103" t="n">
        <x:f>(D493/SUMIF($A$4:$A$802,A493,$D$4:$D$802))/(SUMIF($C$4:$C$802,C493,$D$4:$D$802)/SUM($D$4:$D$802))</x:f>
        <x:v>1.3212973812138613</x:v>
      </x:c>
    </x:row>
    <x:row r="494">
      <x:c r="A494" s="101" t="str">
        <x:v>奈良県</x:v>
      </x:c>
      <x:c r="B494" s="101" t="str">
        <x:v>P</x:v>
      </x:c>
      <x:c r="C494" s="101" t="str">
        <x:v>医療，福祉</x:v>
      </x:c>
      <x:c r="D494" s="102" t="n">
        <x:v>90110</x:v>
      </x:c>
      <x:c r="E494" s="102" t="n">
        <x:f>1+COUNTIFS($C$4:$C$802,C494,$D$4:$D$802,"&gt;"&amp;D494)</x:f>
        <x:v>30</x:v>
      </x:c>
      <x:c r="F494" s="102" t="n">
        <x:v>1324473</x:v>
      </x:c>
      <x:c r="G494" s="126" t="n">
        <x:f>D494/F494*10000</x:f>
        <x:v>680.3460697198055</x:v>
      </x:c>
      <x:c r="H494" s="127" t="n">
        <x:f>1+COUNTIFS($C$4:$C$802,C494,$G$4:$G$802,"&gt;"&amp;G494)</x:f>
        <x:v>21</x:v>
      </x:c>
      <x:c r="I494" s="128" t="n">
        <x:f>D494/SUMIF($C$4:$C$802,C494,$D$4:$D$802)</x:f>
        <x:v>0.011039647907391922</x:v>
      </x:c>
      <x:c r="J494" s="103" t="n">
        <x:f>(D494/SUMIF($A$4:$A$802,A494,$D$4:$D$802))/(SUMIF($C$4:$C$802,C494,$D$4:$D$802)/SUM($D$4:$D$802))</x:f>
        <x:v>1.437904363662556</x:v>
      </x:c>
    </x:row>
    <x:row r="495">
      <x:c r="A495" s="101" t="str">
        <x:v>奈良県</x:v>
      </x:c>
      <x:c r="B495" s="101" t="str">
        <x:v>Q</x:v>
      </x:c>
      <x:c r="C495" s="101" t="str">
        <x:v>複合サービス事業</x:v>
      </x:c>
      <x:c r="D495" s="102" t="n">
        <x:v>4178</x:v>
      </x:c>
      <x:c r="E495" s="102" t="n">
        <x:f>1+COUNTIFS($C$4:$C$802,C495,$D$4:$D$802,"&gt;"&amp;D495)</x:f>
        <x:v>41</x:v>
      </x:c>
      <x:c r="F495" s="102" t="n">
        <x:v>1324473</x:v>
      </x:c>
      <x:c r="G495" s="126" t="n">
        <x:f>D495/F495*10000</x:f>
        <x:v>31.54462189867215</x:v>
      </x:c>
      <x:c r="H495" s="127" t="n">
        <x:f>1+COUNTIFS($C$4:$C$802,C495,$G$4:$G$802,"&gt;"&amp;G495)</x:f>
        <x:v>38</x:v>
      </x:c>
      <x:c r="I495" s="128" t="n">
        <x:f>D495/SUMIF($C$4:$C$802,C495,$D$4:$D$802)</x:f>
        <x:v>0.009583228203775489</x:v>
      </x:c>
      <x:c r="J495" s="103" t="n">
        <x:f>(D495/SUMIF($A$4:$A$802,A495,$D$4:$D$802))/(SUMIF($C$4:$C$802,C495,$D$4:$D$802)/SUM($D$4:$D$802))</x:f>
        <x:v>1.2482069870141608</x:v>
      </x:c>
    </x:row>
    <x:row r="496">
      <x:c r="A496" s="101" t="str">
        <x:v>奈良県</x:v>
      </x:c>
      <x:c r="B496" s="101" t="str">
        <x:v>R</x:v>
      </x:c>
      <x:c r="C496" s="101" t="str">
        <x:v>サービス業（他に分類されないもの）</x:v>
      </x:c>
      <x:c r="D496" s="102" t="n">
        <x:v>31244</x:v>
      </x:c>
      <x:c r="E496" s="102" t="n">
        <x:f>1+COUNTIFS($C$4:$C$802,C496,$D$4:$D$802,"&gt;"&amp;D496)</x:f>
        <x:v>38</x:v>
      </x:c>
      <x:c r="F496" s="102" t="n">
        <x:v>1324473</x:v>
      </x:c>
      <x:c r="G496" s="126" t="n">
        <x:f>D496/F496*10000</x:f>
        <x:v>235.89759851654205</x:v>
      </x:c>
      <x:c r="H496" s="127" t="n">
        <x:f>1+COUNTIFS($C$4:$C$802,C496,$G$4:$G$802,"&gt;"&amp;G496)</x:f>
        <x:v>47</x:v>
      </x:c>
      <x:c r="I496" s="128" t="n">
        <x:f>D496/SUMIF($C$4:$C$802,C496,$D$4:$D$802)</x:f>
        <x:v>0.005969046318569095</x:v>
      </x:c>
      <x:c r="J496" s="103" t="n">
        <x:f>(D496/SUMIF($A$4:$A$802,A496,$D$4:$D$802))/(SUMIF($C$4:$C$802,C496,$D$4:$D$802)/SUM($D$4:$D$802))</x:f>
        <x:v>0.7774629970424574</x:v>
      </x:c>
    </x:row>
    <x:row r="497">
      <x:c r="A497" s="101" t="str">
        <x:v>和歌山県</x:v>
      </x:c>
      <x:c r="B497" s="101" t="str">
        <x:v>AB</x:v>
      </x:c>
      <x:c r="C497" s="101" t="str">
        <x:v>農林漁業</x:v>
      </x:c>
      <x:c r="D497" s="102" t="n">
        <x:v>3730</x:v>
      </x:c>
      <x:c r="E497" s="102" t="n">
        <x:f>1+COUNTIFS($C$4:$C$802,C497,$D$4:$D$802,"&gt;"&amp;D497)</x:f>
        <x:v>44</x:v>
      </x:c>
      <x:c r="F497" s="102" t="n">
        <x:v>922584</x:v>
      </x:c>
      <x:c r="G497" s="126" t="n">
        <x:f>D497/F497*10000</x:f>
        <x:v>40.42992291216843</x:v>
      </x:c>
      <x:c r="H497" s="127" t="n">
        <x:f>1+COUNTIFS($C$4:$C$802,C497,$G$4:$G$802,"&gt;"&amp;G497)</x:f>
        <x:v>34</x:v>
      </x:c>
      <x:c r="I497" s="128" t="n">
        <x:f>D497/SUMIF($C$4:$C$802,C497,$D$4:$D$802)</x:f>
        <x:v>0.00822123724110266</x:v>
      </x:c>
      <x:c r="J497" s="103" t="n">
        <x:f>(D497/SUMIF($A$4:$A$802,A497,$D$4:$D$802))/(SUMIF($C$4:$C$802,C497,$D$4:$D$802)/SUM($D$4:$D$802))</x:f>
        <x:v>1.2580572738397224</x:v>
      </x:c>
    </x:row>
    <x:row r="498">
      <x:c r="A498" s="101" t="str">
        <x:v>和歌山県</x:v>
      </x:c>
      <x:c r="B498" s="101" t="str">
        <x:v>C</x:v>
      </x:c>
      <x:c r="C498" s="101" t="str">
        <x:v>鉱業，採石業，砂利採取業</x:v>
      </x:c>
      <x:c r="D498" s="102" t="n">
        <x:v>103</x:v>
      </x:c>
      <x:c r="E498" s="102" t="n">
        <x:f>1+COUNTIFS($C$4:$C$802,C498,$D$4:$D$802,"&gt;"&amp;D498)</x:f>
        <x:v>45</x:v>
      </x:c>
      <x:c r="F498" s="102" t="n">
        <x:v>922584</x:v>
      </x:c>
      <x:c r="G498" s="126" t="n">
        <x:f>D498/F498*10000</x:f>
        <x:v>1.1164295066899057</x:v>
      </x:c>
      <x:c r="H498" s="127" t="n">
        <x:f>1+COUNTIFS($C$4:$C$802,C498,$G$4:$G$802,"&gt;"&amp;G498)</x:f>
        <x:v>34</x:v>
      </x:c>
      <x:c r="I498" s="128" t="n">
        <x:f>D498/SUMIF($C$4:$C$802,C498,$D$4:$D$802)</x:f>
        <x:v>0.005229222724272732</x:v>
      </x:c>
      <x:c r="J498" s="103" t="n">
        <x:f>(D498/SUMIF($A$4:$A$802,A498,$D$4:$D$802))/(SUMIF($C$4:$C$802,C498,$D$4:$D$802)/SUM($D$4:$D$802))</x:f>
        <x:v>0.800203362567959</x:v>
      </x:c>
    </x:row>
    <x:row r="499">
      <x:c r="A499" s="101" t="str">
        <x:v>和歌山県</x:v>
      </x:c>
      <x:c r="B499" s="101" t="str">
        <x:v>D</x:v>
      </x:c>
      <x:c r="C499" s="101" t="str">
        <x:v>建設業</x:v>
      </x:c>
      <x:c r="D499" s="102" t="n">
        <x:v>24952</x:v>
      </x:c>
      <x:c r="E499" s="102" t="n">
        <x:f>1+COUNTIFS($C$4:$C$802,C499,$D$4:$D$802,"&gt;"&amp;D499)</x:f>
        <x:v>42</x:v>
      </x:c>
      <x:c r="F499" s="102" t="n">
        <x:v>922584</x:v>
      </x:c>
      <x:c r="G499" s="126" t="n">
        <x:f>D499/F499*10000</x:f>
        <x:v>270.4577577759857</x:v>
      </x:c>
      <x:c r="H499" s="127" t="n">
        <x:f>1+COUNTIFS($C$4:$C$802,C499,$G$4:$G$802,"&gt;"&amp;G499)</x:f>
        <x:v>39</x:v>
      </x:c>
      <x:c r="I499" s="128" t="n">
        <x:f>D499/SUMIF($C$4:$C$802,C499,$D$4:$D$802)</x:f>
        <x:v>0.006676272236291661</x:v>
      </x:c>
      <x:c r="J499" s="103" t="n">
        <x:f>(D499/SUMIF($A$4:$A$802,A499,$D$4:$D$802))/(SUMIF($C$4:$C$802,C499,$D$4:$D$802)/SUM($D$4:$D$802))</x:f>
        <x:v>1.0216385445014107</x:v>
      </x:c>
    </x:row>
    <x:row r="500">
      <x:c r="A500" s="101" t="str">
        <x:v>和歌山県</x:v>
      </x:c>
      <x:c r="B500" s="101" t="str">
        <x:v>E</x:v>
      </x:c>
      <x:c r="C500" s="101" t="str">
        <x:v>製造業</x:v>
      </x:c>
      <x:c r="D500" s="102" t="n">
        <x:v>60800</x:v>
      </x:c>
      <x:c r="E500" s="102" t="n">
        <x:f>1+COUNTIFS($C$4:$C$802,C500,$D$4:$D$802,"&gt;"&amp;D500)</x:f>
        <x:v>41</x:v>
      </x:c>
      <x:c r="F500" s="102" t="n">
        <x:v>922584</x:v>
      </x:c>
      <x:c r="G500" s="126" t="n">
        <x:f>D500/F500*10000</x:f>
        <x:v>659.0185825897696</x:v>
      </x:c>
      <x:c r="H500" s="127" t="n">
        <x:f>1+COUNTIFS($C$4:$C$802,C500,$G$4:$G$802,"&gt;"&amp;G500)</x:f>
        <x:v>30</x:v>
      </x:c>
      <x:c r="I500" s="128" t="n">
        <x:f>D500/SUMIF($C$4:$C$802,C500,$D$4:$D$802)</x:f>
        <x:v>0.0069062318860499</x:v>
      </x:c>
      <x:c r="J500" s="103" t="n">
        <x:f>(D500/SUMIF($A$4:$A$802,A500,$D$4:$D$802))/(SUMIF($C$4:$C$802,C500,$D$4:$D$802)/SUM($D$4:$D$802))</x:f>
        <x:v>1.056828188296337</x:v>
      </x:c>
    </x:row>
    <x:row r="501">
      <x:c r="A501" s="101" t="str">
        <x:v>和歌山県</x:v>
      </x:c>
      <x:c r="B501" s="101" t="str">
        <x:v>F</x:v>
      </x:c>
      <x:c r="C501" s="101" t="str">
        <x:v>電気・ガス・熱供給・水道業</x:v>
      </x:c>
      <x:c r="D501" s="102" t="n">
        <x:v>1308</x:v>
      </x:c>
      <x:c r="E501" s="102" t="n">
        <x:f>1+COUNTIFS($C$4:$C$802,C501,$D$4:$D$802,"&gt;"&amp;D501)</x:f>
        <x:v>41</x:v>
      </x:c>
      <x:c r="F501" s="102" t="n">
        <x:v>922584</x:v>
      </x:c>
      <x:c r="G501" s="126" t="n">
        <x:f>D501/F501*10000</x:f>
        <x:v>14.177570822819385</x:v>
      </x:c>
      <x:c r="H501" s="127" t="n">
        <x:f>1+COUNTIFS($C$4:$C$802,C501,$G$4:$G$802,"&gt;"&amp;G501)</x:f>
        <x:v>26</x:v>
      </x:c>
      <x:c r="I501" s="128" t="n">
        <x:f>D501/SUMIF($C$4:$C$802,C501,$D$4:$D$802)</x:f>
        <x:v>0.006470474748823887</x:v>
      </x:c>
      <x:c r="J501" s="103" t="n">
        <x:f>(D501/SUMIF($A$4:$A$802,A501,$D$4:$D$802))/(SUMIF($C$4:$C$802,C501,$D$4:$D$802)/SUM($D$4:$D$802))</x:f>
        <x:v>0.9901463227768801</x:v>
      </x:c>
    </x:row>
    <x:row r="502">
      <x:c r="A502" s="101" t="str">
        <x:v>和歌山県</x:v>
      </x:c>
      <x:c r="B502" s="101" t="str">
        <x:v>G</x:v>
      </x:c>
      <x:c r="C502" s="101" t="str">
        <x:v>情報通信業</x:v>
      </x:c>
      <x:c r="D502" s="102" t="n">
        <x:v>2870</x:v>
      </x:c>
      <x:c r="E502" s="102" t="n">
        <x:f>1+COUNTIFS($C$4:$C$802,C502,$D$4:$D$802,"&gt;"&amp;D502)</x:f>
        <x:v>46</x:v>
      </x:c>
      <x:c r="F502" s="102" t="n">
        <x:v>922584</x:v>
      </x:c>
      <x:c r="G502" s="126" t="n">
        <x:f>D502/F502*10000</x:f>
        <x:v>31.108278487378925</x:v>
      </x:c>
      <x:c r="H502" s="127" t="n">
        <x:f>1+COUNTIFS($C$4:$C$802,C502,$G$4:$G$802,"&gt;"&amp;G502)</x:f>
        <x:v>45</x:v>
      </x:c>
      <x:c r="I502" s="128" t="n">
        <x:f>D502/SUMIF($C$4:$C$802,C502,$D$4:$D$802)</x:f>
        <x:v>0.001444505568896121</x:v>
      </x:c>
      <x:c r="J502" s="103" t="n">
        <x:f>(D502/SUMIF($A$4:$A$802,A502,$D$4:$D$802))/(SUMIF($C$4:$C$802,C502,$D$4:$D$802)/SUM($D$4:$D$802))</x:f>
        <x:v>0.22104589428050767</x:v>
      </x:c>
    </x:row>
    <x:row r="503">
      <x:c r="A503" s="101" t="str">
        <x:v>和歌山県</x:v>
      </x:c>
      <x:c r="B503" s="101" t="str">
        <x:v>H</x:v>
      </x:c>
      <x:c r="C503" s="101" t="str">
        <x:v>運輸業，郵便業</x:v>
      </x:c>
      <x:c r="D503" s="102" t="n">
        <x:v>20916</x:v>
      </x:c>
      <x:c r="E503" s="102" t="n">
        <x:f>1+COUNTIFS($C$4:$C$802,C503,$D$4:$D$802,"&gt;"&amp;D503)</x:f>
        <x:v>36</x:v>
      </x:c>
      <x:c r="F503" s="102" t="n">
        <x:v>922584</x:v>
      </x:c>
      <x:c r="G503" s="126" t="n">
        <x:f>D503/F503*10000</x:f>
        <x:v>226.71106370802008</x:v>
      </x:c>
      <x:c r="H503" s="127" t="n">
        <x:f>1+COUNTIFS($C$4:$C$802,C503,$G$4:$G$802,"&gt;"&amp;G503)</x:f>
        <x:v>27</x:v>
      </x:c>
      <x:c r="I503" s="128" t="n">
        <x:f>D503/SUMIF($C$4:$C$802,C503,$D$4:$D$802)</x:f>
        <x:v>0.006406647524729426</x:v>
      </x:c>
      <x:c r="J503" s="103" t="n">
        <x:f>(D503/SUMIF($A$4:$A$802,A503,$D$4:$D$802))/(SUMIF($C$4:$C$802,C503,$D$4:$D$802)/SUM($D$4:$D$802))</x:f>
        <x:v>0.9803791428274223</x:v>
      </x:c>
    </x:row>
    <x:row r="504">
      <x:c r="A504" s="101" t="str">
        <x:v>和歌山県</x:v>
      </x:c>
      <x:c r="B504" s="101" t="str">
        <x:v>I</x:v>
      </x:c>
      <x:c r="C504" s="101" t="str">
        <x:v>卸売業，小売業</x:v>
      </x:c>
      <x:c r="D504" s="102" t="n">
        <x:v>77638</x:v>
      </x:c>
      <x:c r="E504" s="102" t="n">
        <x:f>1+COUNTIFS($C$4:$C$802,C504,$D$4:$D$802,"&gt;"&amp;D504)</x:f>
        <x:v>40</x:v>
      </x:c>
      <x:c r="F504" s="102" t="n">
        <x:v>922584</x:v>
      </x:c>
      <x:c r="G504" s="126" t="n">
        <x:f>D504/F504*10000</x:f>
        <x:v>841.5277091300087</x:v>
      </x:c>
      <x:c r="H504" s="127" t="n">
        <x:f>1+COUNTIFS($C$4:$C$802,C504,$G$4:$G$802,"&gt;"&amp;G504)</x:f>
        <x:v>31</x:v>
      </x:c>
      <x:c r="I504" s="128" t="n">
        <x:f>D504/SUMIF($C$4:$C$802,C504,$D$4:$D$802)</x:f>
        <x:v>0.006686058227732114</x:v>
      </x:c>
      <x:c r="J504" s="103" t="n">
        <x:f>(D504/SUMIF($A$4:$A$802,A504,$D$4:$D$802))/(SUMIF($C$4:$C$802,C504,$D$4:$D$802)/SUM($D$4:$D$802))</x:f>
        <x:v>1.0231360487519683</x:v>
      </x:c>
    </x:row>
    <x:row r="505">
      <x:c r="A505" s="101" t="str">
        <x:v>和歌山県</x:v>
      </x:c>
      <x:c r="B505" s="101" t="str">
        <x:v>J</x:v>
      </x:c>
      <x:c r="C505" s="101" t="str">
        <x:v>金融業，保険業</x:v>
      </x:c>
      <x:c r="D505" s="102" t="n">
        <x:v>9579</x:v>
      </x:c>
      <x:c r="E505" s="102" t="n">
        <x:f>1+COUNTIFS($C$4:$C$802,C505,$D$4:$D$802,"&gt;"&amp;D505)</x:f>
        <x:v>39</x:v>
      </x:c>
      <x:c r="F505" s="102" t="n">
        <x:v>922584</x:v>
      </x:c>
      <x:c r="G505" s="126" t="n">
        <x:f>D505/F505*10000</x:f>
        <x:v>103.82794412216123</x:v>
      </x:c>
      <x:c r="H505" s="127" t="n">
        <x:f>1+COUNTIFS($C$4:$C$802,C505,$G$4:$G$802,"&gt;"&amp;G505)</x:f>
        <x:v>17</x:v>
      </x:c>
      <x:c r="I505" s="128" t="n">
        <x:f>D505/SUMIF($C$4:$C$802,C505,$D$4:$D$802)</x:f>
        <x:v>0.006409775995760273</x:v>
      </x:c>
      <x:c r="J505" s="103" t="n">
        <x:f>(D505/SUMIF($A$4:$A$802,A505,$D$4:$D$802))/(SUMIF($C$4:$C$802,C505,$D$4:$D$802)/SUM($D$4:$D$802))</x:f>
        <x:v>0.980857878037334</x:v>
      </x:c>
    </x:row>
    <x:row r="506">
      <x:c r="A506" s="101" t="str">
        <x:v>和歌山県</x:v>
      </x:c>
      <x:c r="B506" s="101" t="str">
        <x:v>K</x:v>
      </x:c>
      <x:c r="C506" s="101" t="str">
        <x:v>不動産業，物品賃貸業</x:v>
      </x:c>
      <x:c r="D506" s="102" t="n">
        <x:v>9502</x:v>
      </x:c>
      <x:c r="E506" s="102" t="n">
        <x:f>1+COUNTIFS($C$4:$C$802,C506,$D$4:$D$802,"&gt;"&amp;D506)</x:f>
        <x:v>35</x:v>
      </x:c>
      <x:c r="F506" s="102" t="n">
        <x:v>922584</x:v>
      </x:c>
      <x:c r="G506" s="126" t="n">
        <x:f>D506/F506*10000</x:f>
        <x:v>102.99333177249984</x:v>
      </x:c>
      <x:c r="H506" s="127" t="n">
        <x:f>1+COUNTIFS($C$4:$C$802,C506,$G$4:$G$802,"&gt;"&amp;G506)</x:f>
        <x:v>14</x:v>
      </x:c>
      <x:c r="I506" s="128" t="n">
        <x:f>D506/SUMIF($C$4:$C$802,C506,$D$4:$D$802)</x:f>
        <x:v>0.005872181482667115</x:v>
      </x:c>
      <x:c r="J506" s="103" t="n">
        <x:f>(D506/SUMIF($A$4:$A$802,A506,$D$4:$D$802))/(SUMIF($C$4:$C$802,C506,$D$4:$D$802)/SUM($D$4:$D$802))</x:f>
        <x:v>0.8985923177890737</x:v>
      </x:c>
    </x:row>
    <x:row r="507">
      <x:c r="A507" s="101" t="str">
        <x:v>和歌山県</x:v>
      </x:c>
      <x:c r="B507" s="101" t="str">
        <x:v>L</x:v>
      </x:c>
      <x:c r="C507" s="101" t="str">
        <x:v>学術研究，専門・技術サービス業</x:v>
      </x:c>
      <x:c r="D507" s="102" t="n">
        <x:v>8472</x:v>
      </x:c>
      <x:c r="E507" s="102" t="n">
        <x:f>1+COUNTIFS($C$4:$C$802,C507,$D$4:$D$802,"&gt;"&amp;D507)</x:f>
        <x:v>40</x:v>
      </x:c>
      <x:c r="F507" s="102" t="n">
        <x:v>922584</x:v>
      </x:c>
      <x:c r="G507" s="126" t="n">
        <x:f>D507/F507*10000</x:f>
        <x:v>91.82903670560079</x:v>
      </x:c>
      <x:c r="H507" s="127" t="n">
        <x:f>1+COUNTIFS($C$4:$C$802,C507,$G$4:$G$802,"&gt;"&amp;G507)</x:f>
        <x:v>41</x:v>
      </x:c>
      <x:c r="I507" s="128" t="n">
        <x:f>D507/SUMIF($C$4:$C$802,C507,$D$4:$D$802)</x:f>
        <x:v>0.003998263266192211</x:v>
      </x:c>
      <x:c r="J507" s="103" t="n">
        <x:f>(D507/SUMIF($A$4:$A$802,A507,$D$4:$D$802))/(SUMIF($C$4:$C$802,C507,$D$4:$D$802)/SUM($D$4:$D$802))</x:f>
        <x:v>0.6118354254042462</x:v>
      </x:c>
    </x:row>
    <x:row r="508">
      <x:c r="A508" s="101" t="str">
        <x:v>和歌山県</x:v>
      </x:c>
      <x:c r="B508" s="101" t="str">
        <x:v>M</x:v>
      </x:c>
      <x:c r="C508" s="101" t="str">
        <x:v>宿泊業，飲食サービス業</x:v>
      </x:c>
      <x:c r="D508" s="102" t="n">
        <x:v>33631</x:v>
      </x:c>
      <x:c r="E508" s="102" t="n">
        <x:f>1+COUNTIFS($C$4:$C$802,C508,$D$4:$D$802,"&gt;"&amp;D508)</x:f>
        <x:v>39</x:v>
      </x:c>
      <x:c r="F508" s="102" t="n">
        <x:v>922584</x:v>
      </x:c>
      <x:c r="G508" s="126" t="n">
        <x:f>D508/F508*10000</x:f>
        <x:v>364.5304926163905</x:v>
      </x:c>
      <x:c r="H508" s="127" t="n">
        <x:f>1+COUNTIFS($C$4:$C$802,C508,$G$4:$G$802,"&gt;"&amp;G508)</x:f>
        <x:v>15</x:v>
      </x:c>
      <x:c r="I508" s="128" t="n">
        <x:f>D508/SUMIF($C$4:$C$802,C508,$D$4:$D$802)</x:f>
        <x:v>0.0071880478906816555</x:v>
      </x:c>
      <x:c r="J508" s="103" t="n">
        <x:f>(D508/SUMIF($A$4:$A$802,A508,$D$4:$D$802))/(SUMIF($C$4:$C$802,C508,$D$4:$D$802)/SUM($D$4:$D$802))</x:f>
        <x:v>1.0999531662180153</x:v>
      </x:c>
    </x:row>
    <x:row r="509">
      <x:c r="A509" s="101" t="str">
        <x:v>和歌山県</x:v>
      </x:c>
      <x:c r="B509" s="101" t="str">
        <x:v>N</x:v>
      </x:c>
      <x:c r="C509" s="101" t="str">
        <x:v>生活関連サービス業，娯楽業</x:v>
      </x:c>
      <x:c r="D509" s="102" t="n">
        <x:v>14645</x:v>
      </x:c>
      <x:c r="E509" s="102" t="n">
        <x:f>1+COUNTIFS($C$4:$C$802,C509,$D$4:$D$802,"&gt;"&amp;D509)</x:f>
        <x:v>41</x:v>
      </x:c>
      <x:c r="F509" s="102" t="n">
        <x:v>922584</x:v>
      </x:c>
      <x:c r="G509" s="126" t="n">
        <x:f>D509/F509*10000</x:f>
        <x:v>158.73893325702593</x:v>
      </x:c>
      <x:c r="H509" s="127" t="n">
        <x:f>1+COUNTIFS($C$4:$C$802,C509,$G$4:$G$802,"&gt;"&amp;G509)</x:f>
        <x:v>39</x:v>
      </x:c>
      <x:c r="I509" s="128" t="n">
        <x:f>D509/SUMIF($C$4:$C$802,C509,$D$4:$D$802)</x:f>
        <x:v>0.00672980907929135</x:v>
      </x:c>
      <x:c r="J509" s="103" t="n">
        <x:f>(D509/SUMIF($A$4:$A$802,A509,$D$4:$D$802))/(SUMIF($C$4:$C$802,C509,$D$4:$D$802)/SUM($D$4:$D$802))</x:f>
        <x:v>1.0298310358234517</x:v>
      </x:c>
    </x:row>
    <x:row r="510">
      <x:c r="A510" s="101" t="str">
        <x:v>和歌山県</x:v>
      </x:c>
      <x:c r="B510" s="101" t="str">
        <x:v>O</x:v>
      </x:c>
      <x:c r="C510" s="101" t="str">
        <x:v>教育，学習支援業</x:v>
      </x:c>
      <x:c r="D510" s="102" t="n">
        <x:v>10513</x:v>
      </x:c>
      <x:c r="E510" s="102" t="n">
        <x:f>1+COUNTIFS($C$4:$C$802,C510,$D$4:$D$802,"&gt;"&amp;D510)</x:f>
        <x:v>43</x:v>
      </x:c>
      <x:c r="F510" s="102" t="n">
        <x:v>922584</x:v>
      </x:c>
      <x:c r="G510" s="126" t="n">
        <x:f>D510/F510*10000</x:f>
        <x:v>113.9516835323396</x:v>
      </x:c>
      <x:c r="H510" s="127" t="n">
        <x:f>1+COUNTIFS($C$4:$C$802,C510,$G$4:$G$802,"&gt;"&amp;G510)</x:f>
        <x:v>40</x:v>
      </x:c>
      <x:c r="I510" s="128" t="n">
        <x:f>D510/SUMIF($C$4:$C$802,C510,$D$4:$D$802)</x:f>
        <x:v>0.0053892534809974095</x:v>
      </x:c>
      <x:c r="J510" s="103" t="n">
        <x:f>(D510/SUMIF($A$4:$A$802,A510,$D$4:$D$802))/(SUMIF($C$4:$C$802,C510,$D$4:$D$802)/SUM($D$4:$D$802))</x:f>
        <x:v>0.8246921167093676</x:v>
      </x:c>
    </x:row>
    <x:row r="511">
      <x:c r="A511" s="101" t="str">
        <x:v>和歌山県</x:v>
      </x:c>
      <x:c r="B511" s="101" t="str">
        <x:v>P</x:v>
      </x:c>
      <x:c r="C511" s="101" t="str">
        <x:v>医療，福祉</x:v>
      </x:c>
      <x:c r="D511" s="102" t="n">
        <x:v>67999</x:v>
      </x:c>
      <x:c r="E511" s="102" t="n">
        <x:f>1+COUNTIFS($C$4:$C$802,C511,$D$4:$D$802,"&gt;"&amp;D511)</x:f>
        <x:v>36</x:v>
      </x:c>
      <x:c r="F511" s="102" t="n">
        <x:v>922584</x:v>
      </x:c>
      <x:c r="G511" s="126" t="n">
        <x:f>D511/F511*10000</x:f>
        <x:v>737.0494177223972</x:v>
      </x:c>
      <x:c r="H511" s="127" t="n">
        <x:f>1+COUNTIFS($C$4:$C$802,C511,$G$4:$G$802,"&gt;"&amp;G511)</x:f>
        <x:v>14</x:v>
      </x:c>
      <x:c r="I511" s="128" t="n">
        <x:f>D511/SUMIF($C$4:$C$802,C511,$D$4:$D$802)</x:f>
        <x:v>0.008330762601872635</x:v>
      </x:c>
      <x:c r="J511" s="103" t="n">
        <x:f>(D511/SUMIF($A$4:$A$802,A511,$D$4:$D$802))/(SUMIF($C$4:$C$802,C511,$D$4:$D$802)/SUM($D$4:$D$802))</x:f>
        <x:v>1.2748174247447104</x:v>
      </x:c>
    </x:row>
    <x:row r="512">
      <x:c r="A512" s="101" t="str">
        <x:v>和歌山県</x:v>
      </x:c>
      <x:c r="B512" s="101" t="str">
        <x:v>Q</x:v>
      </x:c>
      <x:c r="C512" s="101" t="str">
        <x:v>複合サービス事業</x:v>
      </x:c>
      <x:c r="D512" s="102" t="n">
        <x:v>5166</x:v>
      </x:c>
      <x:c r="E512" s="102" t="n">
        <x:f>1+COUNTIFS($C$4:$C$802,C512,$D$4:$D$802,"&gt;"&amp;D512)</x:f>
        <x:v>33</x:v>
      </x:c>
      <x:c r="F512" s="102" t="n">
        <x:v>922584</x:v>
      </x:c>
      <x:c r="G512" s="126" t="n">
        <x:f>D512/F512*10000</x:f>
        <x:v>55.99490127728207</x:v>
      </x:c>
      <x:c r="H512" s="127" t="n">
        <x:f>1+COUNTIFS($C$4:$C$802,C512,$G$4:$G$802,"&gt;"&amp;G512)</x:f>
        <x:v>7</x:v>
      </x:c>
      <x:c r="I512" s="128" t="n">
        <x:f>D512/SUMIF($C$4:$C$802,C512,$D$4:$D$802)</x:f>
        <x:v>0.011849439181595063</x:v>
      </x:c>
      <x:c r="J512" s="103" t="n">
        <x:f>(D512/SUMIF($A$4:$A$802,A512,$D$4:$D$802))/(SUMIF($C$4:$C$802,C512,$D$4:$D$802)/SUM($D$4:$D$802))</x:f>
        <x:v>1.8132639548214358</x:v>
      </x:c>
    </x:row>
    <x:row r="513">
      <x:c r="A513" s="101" t="str">
        <x:v>和歌山県</x:v>
      </x:c>
      <x:c r="B513" s="101" t="str">
        <x:v>R</x:v>
      </x:c>
      <x:c r="C513" s="101" t="str">
        <x:v>サービス業（他に分類されないもの）</x:v>
      </x:c>
      <x:c r="D513" s="102" t="n">
        <x:v>26871</x:v>
      </x:c>
      <x:c r="E513" s="102" t="n">
        <x:f>1+COUNTIFS($C$4:$C$802,C513,$D$4:$D$802,"&gt;"&amp;D513)</x:f>
        <x:v>43</x:v>
      </x:c>
      <x:c r="F513" s="102" t="n">
        <x:v>922584</x:v>
      </x:c>
      <x:c r="G513" s="126" t="n">
        <x:f>D513/F513*10000</x:f>
        <x:v>291.2580317889753</x:v>
      </x:c>
      <x:c r="H513" s="127" t="n">
        <x:f>1+COUNTIFS($C$4:$C$802,C513,$G$4:$G$802,"&gt;"&amp;G513)</x:f>
        <x:v>40</x:v>
      </x:c>
      <x:c r="I513" s="128" t="n">
        <x:f>D513/SUMIF($C$4:$C$802,C513,$D$4:$D$802)</x:f>
        <x:v>0.005133601447518568</x:v>
      </x:c>
      <x:c r="J513" s="103" t="n">
        <x:f>(D513/SUMIF($A$4:$A$802,A513,$D$4:$D$802))/(SUMIF($C$4:$C$802,C513,$D$4:$D$802)/SUM($D$4:$D$802))</x:f>
        <x:v>0.7855708882546059</x:v>
      </x:c>
    </x:row>
    <x:row r="514">
      <x:c r="A514" s="101" t="str">
        <x:v>鳥取県</x:v>
      </x:c>
      <x:c r="B514" s="101" t="str">
        <x:v>AB</x:v>
      </x:c>
      <x:c r="C514" s="101" t="str">
        <x:v>農林漁業</x:v>
      </x:c>
      <x:c r="D514" s="102" t="n">
        <x:v>4045</x:v>
      </x:c>
      <x:c r="E514" s="102" t="n">
        <x:f>1+COUNTIFS($C$4:$C$802,C514,$D$4:$D$802,"&gt;"&amp;D514)</x:f>
        <x:v>41</x:v>
      </x:c>
      <x:c r="F514" s="102" t="n">
        <x:v>553407</x:v>
      </x:c>
      <x:c r="G514" s="126" t="n">
        <x:f>D514/F514*10000</x:f>
        <x:v>73.09267862531554</x:v>
      </x:c>
      <x:c r="H514" s="127" t="n">
        <x:f>1+COUNTIFS($C$4:$C$802,C514,$G$4:$G$802,"&gt;"&amp;G514)</x:f>
        <x:v>15</x:v>
      </x:c>
      <x:c r="I514" s="128" t="n">
        <x:f>D514/SUMIF($C$4:$C$802,C514,$D$4:$D$802)</x:f>
        <x:v>0.008915524032241356</x:v>
      </x:c>
      <x:c r="J514" s="103" t="n">
        <x:f>(D514/SUMIF($A$4:$A$802,A514,$D$4:$D$802))/(SUMIF($C$4:$C$802,C514,$D$4:$D$802)/SUM($D$4:$D$802))</x:f>
        <x:v>2.2457840944506477</x:v>
      </x:c>
    </x:row>
    <x:row r="515">
      <x:c r="A515" s="101" t="str">
        <x:v>鳥取県</x:v>
      </x:c>
      <x:c r="B515" s="101" t="str">
        <x:v>C</x:v>
      </x:c>
      <x:c r="C515" s="101" t="str">
        <x:v>鉱業，採石業，砂利採取業</x:v>
      </x:c>
      <x:c r="D515" s="102" t="n">
        <x:v>33</x:v>
      </x:c>
      <x:c r="E515" s="102" t="n">
        <x:f>1+COUNTIFS($C$4:$C$802,C515,$D$4:$D$802,"&gt;"&amp;D515)</x:f>
        <x:v>47</x:v>
      </x:c>
      <x:c r="F515" s="102" t="n">
        <x:v>553407</x:v>
      </x:c>
      <x:c r="G515" s="126" t="n">
        <x:f>D515/F515*10000</x:f>
        <x:v>0.5963061544216102</x:v>
      </x:c>
      <x:c r="H515" s="127" t="n">
        <x:f>1+COUNTIFS($C$4:$C$802,C515,$G$4:$G$802,"&gt;"&amp;G515)</x:f>
        <x:v>42</x:v>
      </x:c>
      <x:c r="I515" s="128" t="n">
        <x:f>D515/SUMIF($C$4:$C$802,C515,$D$4:$D$802)</x:f>
        <x:v>0.0016753820378737879</x:v>
      </x:c>
      <x:c r="J515" s="103" t="n">
        <x:f>(D515/SUMIF($A$4:$A$802,A515,$D$4:$D$802))/(SUMIF($C$4:$C$802,C515,$D$4:$D$802)/SUM($D$4:$D$802))</x:f>
        <x:v>0.42202189340511087</x:v>
      </x:c>
    </x:row>
    <x:row r="516">
      <x:c r="A516" s="101" t="str">
        <x:v>鳥取県</x:v>
      </x:c>
      <x:c r="B516" s="101" t="str">
        <x:v>D</x:v>
      </x:c>
      <x:c r="C516" s="101" t="str">
        <x:v>建設業</x:v>
      </x:c>
      <x:c r="D516" s="102" t="n">
        <x:v>17467</x:v>
      </x:c>
      <x:c r="E516" s="102" t="n">
        <x:f>1+COUNTIFS($C$4:$C$802,C516,$D$4:$D$802,"&gt;"&amp;D516)</x:f>
        <x:v>47</x:v>
      </x:c>
      <x:c r="F516" s="102" t="n">
        <x:v>553407</x:v>
      </x:c>
      <x:c r="G516" s="126" t="n">
        <x:f>D516/F516*10000</x:f>
        <x:v>315.626654523705</x:v>
      </x:c>
      <x:c r="H516" s="127" t="n">
        <x:f>1+COUNTIFS($C$4:$C$802,C516,$G$4:$G$802,"&gt;"&amp;G516)</x:f>
        <x:v>22</x:v>
      </x:c>
      <x:c r="I516" s="128" t="n">
        <x:f>D516/SUMIF($C$4:$C$802,C516,$D$4:$D$802)</x:f>
        <x:v>0.004673551104172269</x:v>
      </x:c>
      <x:c r="J516" s="103" t="n">
        <x:f>(D516/SUMIF($A$4:$A$802,A516,$D$4:$D$802))/(SUMIF($C$4:$C$802,C516,$D$4:$D$802)/SUM($D$4:$D$802))</x:f>
        <x:v>1.1772484372647372</x:v>
      </x:c>
    </x:row>
    <x:row r="517">
      <x:c r="A517" s="101" t="str">
        <x:v>鳥取県</x:v>
      </x:c>
      <x:c r="B517" s="101" t="str">
        <x:v>E</x:v>
      </x:c>
      <x:c r="C517" s="101" t="str">
        <x:v>製造業</x:v>
      </x:c>
      <x:c r="D517" s="102" t="n">
        <x:v>34804</x:v>
      </x:c>
      <x:c r="E517" s="102" t="n">
        <x:f>1+COUNTIFS($C$4:$C$802,C517,$D$4:$D$802,"&gt;"&amp;D517)</x:f>
        <x:v>45</x:v>
      </x:c>
      <x:c r="F517" s="102" t="n">
        <x:v>553407</x:v>
      </x:c>
      <x:c r="G517" s="126" t="n">
        <x:f>D517/F517*10000</x:f>
        <x:v>628.9042241966582</x:v>
      </x:c>
      <x:c r="H517" s="127" t="n">
        <x:f>1+COUNTIFS($C$4:$C$802,C517,$G$4:$G$802,"&gt;"&amp;G517)</x:f>
        <x:v>31</x:v>
      </x:c>
      <x:c r="I517" s="128" t="n">
        <x:f>D517/SUMIF($C$4:$C$802,C517,$D$4:$D$802)</x:f>
        <x:v>0.0039533633974026434</x:v>
      </x:c>
      <x:c r="J517" s="103" t="n">
        <x:f>(D517/SUMIF($A$4:$A$802,A517,$D$4:$D$802))/(SUMIF($C$4:$C$802,C517,$D$4:$D$802)/SUM($D$4:$D$802))</x:f>
        <x:v>0.9958360950363799</x:v>
      </x:c>
    </x:row>
    <x:row r="518">
      <x:c r="A518" s="101" t="str">
        <x:v>鳥取県</x:v>
      </x:c>
      <x:c r="B518" s="101" t="str">
        <x:v>F</x:v>
      </x:c>
      <x:c r="C518" s="101" t="str">
        <x:v>電気・ガス・熱供給・水道業</x:v>
      </x:c>
      <x:c r="D518" s="102" t="n">
        <x:v>974</x:v>
      </x:c>
      <x:c r="E518" s="102" t="n">
        <x:f>1+COUNTIFS($C$4:$C$802,C518,$D$4:$D$802,"&gt;"&amp;D518)</x:f>
        <x:v>46</x:v>
      </x:c>
      <x:c r="F518" s="102" t="n">
        <x:v>553407</x:v>
      </x:c>
      <x:c r="G518" s="126" t="n">
        <x:f>D518/F518*10000</x:f>
        <x:v>17.60006649717116</x:v>
      </x:c>
      <x:c r="H518" s="127" t="n">
        <x:f>1+COUNTIFS($C$4:$C$802,C518,$G$4:$G$802,"&gt;"&amp;G518)</x:f>
        <x:v>16</x:v>
      </x:c>
      <x:c r="I518" s="128" t="n">
        <x:f>D518/SUMIF($C$4:$C$802,C518,$D$4:$D$802)</x:f>
        <x:v>0.004818228138650203</x:v>
      </x:c>
      <x:c r="J518" s="103" t="n">
        <x:f>(D518/SUMIF($A$4:$A$802,A518,$D$4:$D$802))/(SUMIF($C$4:$C$802,C518,$D$4:$D$802)/SUM($D$4:$D$802))</x:f>
        <x:v>1.2136919914167807</x:v>
      </x:c>
    </x:row>
    <x:row r="519">
      <x:c r="A519" s="101" t="str">
        <x:v>鳥取県</x:v>
      </x:c>
      <x:c r="B519" s="101" t="str">
        <x:v>G</x:v>
      </x:c>
      <x:c r="C519" s="101" t="str">
        <x:v>情報通信業</x:v>
      </x:c>
      <x:c r="D519" s="102" t="n">
        <x:v>3171</x:v>
      </x:c>
      <x:c r="E519" s="102" t="n">
        <x:f>1+COUNTIFS($C$4:$C$802,C519,$D$4:$D$802,"&gt;"&amp;D519)</x:f>
        <x:v>44</x:v>
      </x:c>
      <x:c r="F519" s="102" t="n">
        <x:v>553407</x:v>
      </x:c>
      <x:c r="G519" s="126" t="n">
        <x:f>D519/F519*10000</x:f>
        <x:v>57.299600474876534</x:v>
      </x:c>
      <x:c r="H519" s="127" t="n">
        <x:f>1+COUNTIFS($C$4:$C$802,C519,$G$4:$G$802,"&gt;"&amp;G519)</x:f>
        <x:v>19</x:v>
      </x:c>
      <x:c r="I519" s="128" t="n">
        <x:f>D519/SUMIF($C$4:$C$802,C519,$D$4:$D$802)</x:f>
        <x:v>0.0015960024944144946</x:v>
      </x:c>
      <x:c r="J519" s="103" t="n">
        <x:f>(D519/SUMIF($A$4:$A$802,A519,$D$4:$D$802))/(SUMIF($C$4:$C$802,C519,$D$4:$D$802)/SUM($D$4:$D$802))</x:f>
        <x:v>0.40202651057837446</x:v>
      </x:c>
    </x:row>
    <x:row r="520">
      <x:c r="A520" s="101" t="str">
        <x:v>鳥取県</x:v>
      </x:c>
      <x:c r="B520" s="101" t="str">
        <x:v>H</x:v>
      </x:c>
      <x:c r="C520" s="101" t="str">
        <x:v>運輸業，郵便業</x:v>
      </x:c>
      <x:c r="D520" s="102" t="n">
        <x:v>11815</x:v>
      </x:c>
      <x:c r="E520" s="102" t="n">
        <x:f>1+COUNTIFS($C$4:$C$802,C520,$D$4:$D$802,"&gt;"&amp;D520)</x:f>
        <x:v>47</x:v>
      </x:c>
      <x:c r="F520" s="102" t="n">
        <x:v>553407</x:v>
      </x:c>
      <x:c r="G520" s="126" t="n">
        <x:f>D520/F520*10000</x:f>
        <x:v>213.49567316640375</x:v>
      </x:c>
      <x:c r="H520" s="127" t="n">
        <x:f>1+COUNTIFS($C$4:$C$802,C520,$G$4:$G$802,"&gt;"&amp;G520)</x:f>
        <x:v>31</x:v>
      </x:c>
      <x:c r="I520" s="128" t="n">
        <x:f>D520/SUMIF($C$4:$C$802,C520,$D$4:$D$802)</x:f>
        <x:v>0.0036189778401548183</x:v>
      </x:c>
      <x:c r="J520" s="103" t="n">
        <x:f>(D520/SUMIF($A$4:$A$802,A520,$D$4:$D$802))/(SUMIF($C$4:$C$802,C520,$D$4:$D$802)/SUM($D$4:$D$802))</x:f>
        <x:v>0.9116057387314134</x:v>
      </x:c>
    </x:row>
    <x:row r="521">
      <x:c r="A521" s="101" t="str">
        <x:v>鳥取県</x:v>
      </x:c>
      <x:c r="B521" s="101" t="str">
        <x:v>I</x:v>
      </x:c>
      <x:c r="C521" s="101" t="str">
        <x:v>卸売業，小売業</x:v>
      </x:c>
      <x:c r="D521" s="102" t="n">
        <x:v>46014</x:v>
      </x:c>
      <x:c r="E521" s="102" t="n">
        <x:f>1+COUNTIFS($C$4:$C$802,C521,$D$4:$D$802,"&gt;"&amp;D521)</x:f>
        <x:v>47</x:v>
      </x:c>
      <x:c r="F521" s="102" t="n">
        <x:v>553407</x:v>
      </x:c>
      <x:c r="G521" s="126" t="n">
        <x:f>D521/F521*10000</x:f>
        <x:v>831.4676178653324</x:v>
      </x:c>
      <x:c r="H521" s="127" t="n">
        <x:f>1+COUNTIFS($C$4:$C$802,C521,$G$4:$G$802,"&gt;"&amp;G521)</x:f>
        <x:v>34</x:v>
      </x:c>
      <x:c r="I521" s="128" t="n">
        <x:f>D521/SUMIF($C$4:$C$802,C521,$D$4:$D$802)</x:f>
        <x:v>0.003962650806188535</x:v>
      </x:c>
      <x:c r="J521" s="103" t="n">
        <x:f>(D521/SUMIF($A$4:$A$802,A521,$D$4:$D$802))/(SUMIF($C$4:$C$802,C521,$D$4:$D$802)/SUM($D$4:$D$802))</x:f>
        <x:v>0.99817555538157</x:v>
      </x:c>
    </x:row>
    <x:row r="522">
      <x:c r="A522" s="101" t="str">
        <x:v>鳥取県</x:v>
      </x:c>
      <x:c r="B522" s="101" t="str">
        <x:v>J</x:v>
      </x:c>
      <x:c r="C522" s="101" t="str">
        <x:v>金融業，保険業</x:v>
      </x:c>
      <x:c r="D522" s="102" t="n">
        <x:v>5902</x:v>
      </x:c>
      <x:c r="E522" s="102" t="n">
        <x:f>1+COUNTIFS($C$4:$C$802,C522,$D$4:$D$802,"&gt;"&amp;D522)</x:f>
        <x:v>47</x:v>
      </x:c>
      <x:c r="F522" s="102" t="n">
        <x:v>553407</x:v>
      </x:c>
      <x:c r="G522" s="126" t="n">
        <x:f>D522/F522*10000</x:f>
        <x:v>106.6484522241316</x:v>
      </x:c>
      <x:c r="H522" s="127" t="n">
        <x:f>1+COUNTIFS($C$4:$C$802,C522,$G$4:$G$802,"&gt;"&amp;G522)</x:f>
        <x:v>12</x:v>
      </x:c>
      <x:c r="I522" s="128" t="n">
        <x:f>D522/SUMIF($C$4:$C$802,C522,$D$4:$D$802)</x:f>
        <x:v>0.003949315996134997</x:v>
      </x:c>
      <x:c r="J522" s="103" t="n">
        <x:f>(D522/SUMIF($A$4:$A$802,A522,$D$4:$D$802))/(SUMIF($C$4:$C$802,C522,$D$4:$D$802)/SUM($D$4:$D$802))</x:f>
        <x:v>0.9948165711858615</x:v>
      </x:c>
    </x:row>
    <x:row r="523">
      <x:c r="A523" s="101" t="str">
        <x:v>鳥取県</x:v>
      </x:c>
      <x:c r="B523" s="101" t="str">
        <x:v>K</x:v>
      </x:c>
      <x:c r="C523" s="101" t="str">
        <x:v>不動産業，物品賃貸業</x:v>
      </x:c>
      <x:c r="D523" s="102" t="n">
        <x:v>4129</x:v>
      </x:c>
      <x:c r="E523" s="102" t="n">
        <x:f>1+COUNTIFS($C$4:$C$802,C523,$D$4:$D$802,"&gt;"&amp;D523)</x:f>
        <x:v>47</x:v>
      </x:c>
      <x:c r="F523" s="102" t="n">
        <x:v>553407</x:v>
      </x:c>
      <x:c r="G523" s="126" t="n">
        <x:f>D523/F523*10000</x:f>
        <x:v>74.61054883657056</x:v>
      </x:c>
      <x:c r="H523" s="127" t="n">
        <x:f>1+COUNTIFS($C$4:$C$802,C523,$G$4:$G$802,"&gt;"&amp;G523)</x:f>
        <x:v>40</x:v>
      </x:c>
      <x:c r="I523" s="128" t="n">
        <x:f>D523/SUMIF($C$4:$C$802,C523,$D$4:$D$802)</x:f>
        <x:v>0.00255169831003289</x:v>
      </x:c>
      <x:c r="J523" s="103" t="n">
        <x:f>(D523/SUMIF($A$4:$A$802,A523,$D$4:$D$802))/(SUMIF($C$4:$C$802,C523,$D$4:$D$802)/SUM($D$4:$D$802))</x:f>
        <x:v>0.6427623836562978</x:v>
      </x:c>
    </x:row>
    <x:row r="524">
      <x:c r="A524" s="101" t="str">
        <x:v>鳥取県</x:v>
      </x:c>
      <x:c r="B524" s="101" t="str">
        <x:v>L</x:v>
      </x:c>
      <x:c r="C524" s="101" t="str">
        <x:v>学術研究，専門・技術サービス業</x:v>
      </x:c>
      <x:c r="D524" s="102" t="n">
        <x:v>5306</x:v>
      </x:c>
      <x:c r="E524" s="102" t="n">
        <x:f>1+COUNTIFS($C$4:$C$802,C524,$D$4:$D$802,"&gt;"&amp;D524)</x:f>
        <x:v>47</x:v>
      </x:c>
      <x:c r="F524" s="102" t="n">
        <x:v>553407</x:v>
      </x:c>
      <x:c r="G524" s="126" t="n">
        <x:f>D524/F524*10000</x:f>
        <x:v>95.87880167760798</x:v>
      </x:c>
      <x:c r="H524" s="127" t="n">
        <x:f>1+COUNTIFS($C$4:$C$802,C524,$G$4:$G$802,"&gt;"&amp;G524)</x:f>
        <x:v>36</x:v>
      </x:c>
      <x:c r="I524" s="128" t="n">
        <x:f>D524/SUMIF($C$4:$C$802,C524,$D$4:$D$802)</x:f>
        <x:v>0.0025041058652521095</x:v>
      </x:c>
      <x:c r="J524" s="103" t="n">
        <x:f>(D524/SUMIF($A$4:$A$802,A524,$D$4:$D$802))/(SUMIF($C$4:$C$802,C524,$D$4:$D$802)/SUM($D$4:$D$802))</x:f>
        <x:v>0.630774041174333</x:v>
      </x:c>
    </x:row>
    <x:row r="525">
      <x:c r="A525" s="101" t="str">
        <x:v>鳥取県</x:v>
      </x:c>
      <x:c r="B525" s="101" t="str">
        <x:v>M</x:v>
      </x:c>
      <x:c r="C525" s="101" t="str">
        <x:v>宿泊業，飲食サービス業</x:v>
      </x:c>
      <x:c r="D525" s="102" t="n">
        <x:v>19494</x:v>
      </x:c>
      <x:c r="E525" s="102" t="n">
        <x:f>1+COUNTIFS($C$4:$C$802,C525,$D$4:$D$802,"&gt;"&amp;D525)</x:f>
        <x:v>47</x:v>
      </x:c>
      <x:c r="F525" s="102" t="n">
        <x:v>553407</x:v>
      </x:c>
      <x:c r="G525" s="126" t="n">
        <x:f>D525/F525*10000</x:f>
        <x:v>352.2543083119657</x:v>
      </x:c>
      <x:c r="H525" s="127" t="n">
        <x:f>1+COUNTIFS($C$4:$C$802,C525,$G$4:$G$802,"&gt;"&amp;G525)</x:f>
        <x:v>20</x:v>
      </x:c>
      <x:c r="I525" s="128" t="n">
        <x:f>D525/SUMIF($C$4:$C$802,C525,$D$4:$D$802)</x:f>
        <x:v>0.004166507257617918</x:v>
      </x:c>
      <x:c r="J525" s="103" t="n">
        <x:f>(D525/SUMIF($A$4:$A$802,A525,$D$4:$D$802))/(SUMIF($C$4:$C$802,C525,$D$4:$D$802)/SUM($D$4:$D$802))</x:f>
        <x:v>1.0495261629864228</x:v>
      </x:c>
    </x:row>
    <x:row r="526">
      <x:c r="A526" s="101" t="str">
        <x:v>鳥取県</x:v>
      </x:c>
      <x:c r="B526" s="101" t="str">
        <x:v>N</x:v>
      </x:c>
      <x:c r="C526" s="101" t="str">
        <x:v>生活関連サービス業，娯楽業</x:v>
      </x:c>
      <x:c r="D526" s="102" t="n">
        <x:v>8809</x:v>
      </x:c>
      <x:c r="E526" s="102" t="n">
        <x:f>1+COUNTIFS($C$4:$C$802,C526,$D$4:$D$802,"&gt;"&amp;D526)</x:f>
        <x:v>47</x:v>
      </x:c>
      <x:c r="F526" s="102" t="n">
        <x:v>553407</x:v>
      </x:c>
      <x:c r="G526" s="126" t="n">
        <x:f>D526/F526*10000</x:f>
        <x:v>159.17760346363528</x:v>
      </x:c>
      <x:c r="H526" s="127" t="n">
        <x:f>1+COUNTIFS($C$4:$C$802,C526,$G$4:$G$802,"&gt;"&amp;G526)</x:f>
        <x:v>38</x:v>
      </x:c>
      <x:c r="I526" s="128" t="n">
        <x:f>D526/SUMIF($C$4:$C$802,C526,$D$4:$D$802)</x:f>
        <x:v>0.004047995095901502</x:v>
      </x:c>
      <x:c r="J526" s="103" t="n">
        <x:f>(D526/SUMIF($A$4:$A$802,A526,$D$4:$D$802))/(SUMIF($C$4:$C$802,C526,$D$4:$D$802)/SUM($D$4:$D$802))</x:f>
        <x:v>1.01967343343074</x:v>
      </x:c>
    </x:row>
    <x:row r="527">
      <x:c r="A527" s="101" t="str">
        <x:v>鳥取県</x:v>
      </x:c>
      <x:c r="B527" s="101" t="str">
        <x:v>O</x:v>
      </x:c>
      <x:c r="C527" s="101" t="str">
        <x:v>教育，学習支援業</x:v>
      </x:c>
      <x:c r="D527" s="102" t="n">
        <x:v>8434</x:v>
      </x:c>
      <x:c r="E527" s="102" t="n">
        <x:f>1+COUNTIFS($C$4:$C$802,C527,$D$4:$D$802,"&gt;"&amp;D527)</x:f>
        <x:v>45</x:v>
      </x:c>
      <x:c r="F527" s="102" t="n">
        <x:v>553407</x:v>
      </x:c>
      <x:c r="G527" s="126" t="n">
        <x:f>D527/F527*10000</x:f>
        <x:v>152.40139716338967</x:v>
      </x:c>
      <x:c r="H527" s="127" t="n">
        <x:f>1+COUNTIFS($C$4:$C$802,C527,$G$4:$G$802,"&gt;"&amp;G527)</x:f>
        <x:v>9</x:v>
      </x:c>
      <x:c r="I527" s="128" t="n">
        <x:f>D527/SUMIF($C$4:$C$802,C527,$D$4:$D$802)</x:f>
        <x:v>0.004323500795085337</x:v>
      </x:c>
      <x:c r="J527" s="103" t="n">
        <x:f>(D527/SUMIF($A$4:$A$802,A527,$D$4:$D$802))/(SUMIF($C$4:$C$802,C527,$D$4:$D$802)/SUM($D$4:$D$802))</x:f>
        <x:v>1.089072193943308</x:v>
      </x:c>
    </x:row>
    <x:row r="528">
      <x:c r="A528" s="101" t="str">
        <x:v>鳥取県</x:v>
      </x:c>
      <x:c r="B528" s="101" t="str">
        <x:v>P</x:v>
      </x:c>
      <x:c r="C528" s="101" t="str">
        <x:v>医療，福祉</x:v>
      </x:c>
      <x:c r="D528" s="102" t="n">
        <x:v>41538</x:v>
      </x:c>
      <x:c r="E528" s="102" t="n">
        <x:f>1+COUNTIFS($C$4:$C$802,C528,$D$4:$D$802,"&gt;"&amp;D528)</x:f>
        <x:v>47</x:v>
      </x:c>
      <x:c r="F528" s="102" t="n">
        <x:v>553407</x:v>
      </x:c>
      <x:c r="G528" s="126" t="n">
        <x:f>D528/F528*10000</x:f>
        <x:v>750.5868194656013</x:v>
      </x:c>
      <x:c r="H528" s="127" t="n">
        <x:f>1+COUNTIFS($C$4:$C$802,C528,$G$4:$G$802,"&gt;"&amp;G528)</x:f>
        <x:v>12</x:v>
      </x:c>
      <x:c r="I528" s="128" t="n">
        <x:f>D528/SUMIF($C$4:$C$802,C528,$D$4:$D$802)</x:f>
        <x:v>0.005088945675033244</x:v>
      </x:c>
      <x:c r="J528" s="103" t="n">
        <x:f>(D528/SUMIF($A$4:$A$802,A528,$D$4:$D$802))/(SUMIF($C$4:$C$802,C528,$D$4:$D$802)/SUM($D$4:$D$802))</x:f>
        <x:v>1.2818846332737568</x:v>
      </x:c>
    </x:row>
    <x:row r="529">
      <x:c r="A529" s="101" t="str">
        <x:v>鳥取県</x:v>
      </x:c>
      <x:c r="B529" s="101" t="str">
        <x:v>Q</x:v>
      </x:c>
      <x:c r="C529" s="101" t="str">
        <x:v>複合サービス事業</x:v>
      </x:c>
      <x:c r="D529" s="102" t="n">
        <x:v>2875</x:v>
      </x:c>
      <x:c r="E529" s="102" t="n">
        <x:f>1+COUNTIFS($C$4:$C$802,C529,$D$4:$D$802,"&gt;"&amp;D529)</x:f>
        <x:v>47</x:v>
      </x:c>
      <x:c r="F529" s="102" t="n">
        <x:v>553407</x:v>
      </x:c>
      <x:c r="G529" s="126" t="n">
        <x:f>D529/F529*10000</x:f>
        <x:v>51.95091496854937</x:v>
      </x:c>
      <x:c r="H529" s="127" t="n">
        <x:f>1+COUNTIFS($C$4:$C$802,C529,$G$4:$G$802,"&gt;"&amp;G529)</x:f>
        <x:v>12</x:v>
      </x:c>
      <x:c r="I529" s="128" t="n">
        <x:f>D529/SUMIF($C$4:$C$802,C529,$D$4:$D$802)</x:f>
        <x:v>0.006594490446590362</x:v>
      </x:c>
      <x:c r="J529" s="103" t="n">
        <x:f>(D529/SUMIF($A$4:$A$802,A529,$D$4:$D$802))/(SUMIF($C$4:$C$802,C529,$D$4:$D$802)/SUM($D$4:$D$802))</x:f>
        <x:v>1.6611252128761538</x:v>
      </x:c>
    </x:row>
    <x:row r="530">
      <x:c r="A530" s="101" t="str">
        <x:v>鳥取県</x:v>
      </x:c>
      <x:c r="B530" s="101" t="str">
        <x:v>R</x:v>
      </x:c>
      <x:c r="C530" s="101" t="str">
        <x:v>サービス業（他に分類されないもの）</x:v>
      </x:c>
      <x:c r="D530" s="102" t="n">
        <x:v>15245</x:v>
      </x:c>
      <x:c r="E530" s="102" t="n">
        <x:f>1+COUNTIFS($C$4:$C$802,C530,$D$4:$D$802,"&gt;"&amp;D530)</x:f>
        <x:v>47</x:v>
      </x:c>
      <x:c r="F530" s="102" t="n">
        <x:v>553407</x:v>
      </x:c>
      <x:c r="G530" s="126" t="n">
        <x:f>D530/F530*10000</x:f>
        <x:v>275.47537345931653</x:v>
      </x:c>
      <x:c r="H530" s="127" t="n">
        <x:f>1+COUNTIFS($C$4:$C$802,C530,$G$4:$G$802,"&gt;"&amp;G530)</x:f>
        <x:v>44</x:v>
      </x:c>
      <x:c r="I530" s="128" t="n">
        <x:f>D530/SUMIF($C$4:$C$802,C530,$D$4:$D$802)</x:f>
        <x:v>0.002912498755811863</x:v>
      </x:c>
      <x:c r="J530" s="103" t="n">
        <x:f>(D530/SUMIF($A$4:$A$802,A530,$D$4:$D$802))/(SUMIF($C$4:$C$802,C530,$D$4:$D$802)/SUM($D$4:$D$802))</x:f>
        <x:v>0.7336465425089792</x:v>
      </x:c>
    </x:row>
    <x:row r="531">
      <x:c r="A531" s="101" t="str">
        <x:v>島根県</x:v>
      </x:c>
      <x:c r="B531" s="101" t="str">
        <x:v>AB</x:v>
      </x:c>
      <x:c r="C531" s="101" t="str">
        <x:v>農林漁業</x:v>
      </x:c>
      <x:c r="D531" s="102" t="n">
        <x:v>8039</x:v>
      </x:c>
      <x:c r="E531" s="102" t="n">
        <x:f>1+COUNTIFS($C$4:$C$802,C531,$D$4:$D$802,"&gt;"&amp;D531)</x:f>
        <x:v>27</x:v>
      </x:c>
      <x:c r="F531" s="102" t="n">
        <x:v>671126</x:v>
      </x:c>
      <x:c r="G531" s="126" t="n">
        <x:f>D531/F531*10000</x:f>
        <x:v>119.78376638663977</x:v>
      </x:c>
      <x:c r="H531" s="127" t="n">
        <x:f>1+COUNTIFS($C$4:$C$802,C531,$G$4:$G$802,"&gt;"&amp;G531)</x:f>
        <x:v>2</x:v>
      </x:c>
      <x:c r="I531" s="128" t="n">
        <x:f>D531/SUMIF($C$4:$C$802,C531,$D$4:$D$802)</x:f>
        <x:v>0.01771863972686978</x:v>
      </x:c>
      <x:c r="J531" s="103" t="n">
        <x:f>(D531/SUMIF($A$4:$A$802,A531,$D$4:$D$802))/(SUMIF($C$4:$C$802,C531,$D$4:$D$802)/SUM($D$4:$D$802))</x:f>
        <x:v>3.4619268840029096</x:v>
      </x:c>
    </x:row>
    <x:row r="532">
      <x:c r="A532" s="101" t="str">
        <x:v>島根県</x:v>
      </x:c>
      <x:c r="B532" s="101" t="str">
        <x:v>C</x:v>
      </x:c>
      <x:c r="C532" s="101" t="str">
        <x:v>鉱業，採石業，砂利採取業</x:v>
      </x:c>
      <x:c r="D532" s="102" t="n">
        <x:v>237</x:v>
      </x:c>
      <x:c r="E532" s="102" t="n">
        <x:f>1+COUNTIFS($C$4:$C$802,C532,$D$4:$D$802,"&gt;"&amp;D532)</x:f>
        <x:v>30</x:v>
      </x:c>
      <x:c r="F532" s="102" t="n">
        <x:v>671126</x:v>
      </x:c>
      <x:c r="G532" s="126" t="n">
        <x:f>D532/F532*10000</x:f>
        <x:v>3.531378608487825</x:v>
      </x:c>
      <x:c r="H532" s="127" t="n">
        <x:f>1+COUNTIFS($C$4:$C$802,C532,$G$4:$G$802,"&gt;"&amp;G532)</x:f>
        <x:v>8</x:v>
      </x:c>
      <x:c r="I532" s="128" t="n">
        <x:f>D532/SUMIF($C$4:$C$802,C532,$D$4:$D$802)</x:f>
        <x:v>0.012032289181093567</x:v>
      </x:c>
      <x:c r="J532" s="103" t="n">
        <x:f>(D532/SUMIF($A$4:$A$802,A532,$D$4:$D$802))/(SUMIF($C$4:$C$802,C532,$D$4:$D$802)/SUM($D$4:$D$802))</x:f>
        <x:v>2.350908762423606</x:v>
      </x:c>
    </x:row>
    <x:row r="533">
      <x:c r="A533" s="101" t="str">
        <x:v>島根県</x:v>
      </x:c>
      <x:c r="B533" s="101" t="str">
        <x:v>D</x:v>
      </x:c>
      <x:c r="C533" s="101" t="str">
        <x:v>建設業</x:v>
      </x:c>
      <x:c r="D533" s="102" t="n">
        <x:v>26155</x:v>
      </x:c>
      <x:c r="E533" s="102" t="n">
        <x:f>1+COUNTIFS($C$4:$C$802,C533,$D$4:$D$802,"&gt;"&amp;D533)</x:f>
        <x:v>41</x:v>
      </x:c>
      <x:c r="F533" s="102" t="n">
        <x:v>671126</x:v>
      </x:c>
      <x:c r="G533" s="126" t="n">
        <x:f>D533/F533*10000</x:f>
        <x:v>389.71817512657833</x:v>
      </x:c>
      <x:c r="H533" s="127" t="n">
        <x:f>1+COUNTIFS($C$4:$C$802,C533,$G$4:$G$802,"&gt;"&amp;G533)</x:f>
        <x:v>8</x:v>
      </x:c>
      <x:c r="I533" s="128" t="n">
        <x:f>D533/SUMIF($C$4:$C$802,C533,$D$4:$D$802)</x:f>
        <x:v>0.006998152466343716</x:v>
      </x:c>
      <x:c r="J533" s="103" t="n">
        <x:f>(D533/SUMIF($A$4:$A$802,A533,$D$4:$D$802))/(SUMIF($C$4:$C$802,C533,$D$4:$D$802)/SUM($D$4:$D$802))</x:f>
        <x:v>1.3673223529031364</x:v>
      </x:c>
    </x:row>
    <x:row r="534">
      <x:c r="A534" s="101" t="str">
        <x:v>島根県</x:v>
      </x:c>
      <x:c r="B534" s="101" t="str">
        <x:v>E</x:v>
      </x:c>
      <x:c r="C534" s="101" t="str">
        <x:v>製造業</x:v>
      </x:c>
      <x:c r="D534" s="102" t="n">
        <x:v>44821</x:v>
      </x:c>
      <x:c r="E534" s="102" t="n">
        <x:f>1+COUNTIFS($C$4:$C$802,C534,$D$4:$D$802,"&gt;"&amp;D534)</x:f>
        <x:v>44</x:v>
      </x:c>
      <x:c r="F534" s="102" t="n">
        <x:v>671126</x:v>
      </x:c>
      <x:c r="G534" s="126" t="n">
        <x:f>D534/F534*10000</x:f>
        <x:v>667.8477662912777</x:v>
      </x:c>
      <x:c r="H534" s="127" t="n">
        <x:f>1+COUNTIFS($C$4:$C$802,C534,$G$4:$G$802,"&gt;"&amp;G534)</x:f>
        <x:v>29</x:v>
      </x:c>
      <x:c r="I534" s="128" t="n">
        <x:f>D534/SUMIF($C$4:$C$802,C534,$D$4:$D$802)</x:f>
        <x:v>0.005091187818497411</x:v>
      </x:c>
      <x:c r="J534" s="103" t="n">
        <x:f>(D534/SUMIF($A$4:$A$802,A534,$D$4:$D$802))/(SUMIF($C$4:$C$802,C534,$D$4:$D$802)/SUM($D$4:$D$802))</x:f>
        <x:v>0.9947332443153661</x:v>
      </x:c>
    </x:row>
    <x:row r="535">
      <x:c r="A535" s="101" t="str">
        <x:v>島根県</x:v>
      </x:c>
      <x:c r="B535" s="101" t="str">
        <x:v>F</x:v>
      </x:c>
      <x:c r="C535" s="101" t="str">
        <x:v>電気・ガス・熱供給・水道業</x:v>
      </x:c>
      <x:c r="D535" s="102" t="n">
        <x:v>1481</x:v>
      </x:c>
      <x:c r="E535" s="102" t="n">
        <x:f>1+COUNTIFS($C$4:$C$802,C535,$D$4:$D$802,"&gt;"&amp;D535)</x:f>
        <x:v>39</x:v>
      </x:c>
      <x:c r="F535" s="102" t="n">
        <x:v>671126</x:v>
      </x:c>
      <x:c r="G535" s="126" t="n">
        <x:f>D535/F535*10000</x:f>
        <x:v>22.06739122012856</x:v>
      </x:c>
      <x:c r="H535" s="127" t="n">
        <x:f>1+COUNTIFS($C$4:$C$802,C535,$G$4:$G$802,"&gt;"&amp;G535)</x:f>
        <x:v>8</x:v>
      </x:c>
      <x:c r="I535" s="128" t="n">
        <x:f>D535/SUMIF($C$4:$C$802,C535,$D$4:$D$802)</x:f>
        <x:v>0.007326279130740196</x:v>
      </x:c>
      <x:c r="J535" s="103" t="n">
        <x:f>(D535/SUMIF($A$4:$A$802,A535,$D$4:$D$802))/(SUMIF($C$4:$C$802,C535,$D$4:$D$802)/SUM($D$4:$D$802))</x:f>
        <x:v>1.4314328342009612</x:v>
      </x:c>
    </x:row>
    <x:row r="536">
      <x:c r="A536" s="101" t="str">
        <x:v>島根県</x:v>
      </x:c>
      <x:c r="B536" s="101" t="str">
        <x:v>G</x:v>
      </x:c>
      <x:c r="C536" s="101" t="str">
        <x:v>情報通信業</x:v>
      </x:c>
      <x:c r="D536" s="102" t="n">
        <x:v>3371</x:v>
      </x:c>
      <x:c r="E536" s="102" t="n">
        <x:f>1+COUNTIFS($C$4:$C$802,C536,$D$4:$D$802,"&gt;"&amp;D536)</x:f>
        <x:v>43</x:v>
      </x:c>
      <x:c r="F536" s="102" t="n">
        <x:v>671126</x:v>
      </x:c>
      <x:c r="G536" s="126" t="n">
        <x:f>D536/F536*10000</x:f>
        <x:v>50.22901809794286</x:v>
      </x:c>
      <x:c r="H536" s="127" t="n">
        <x:f>1+COUNTIFS($C$4:$C$802,C536,$G$4:$G$802,"&gt;"&amp;G536)</x:f>
        <x:v>26</x:v>
      </x:c>
      <x:c r="I536" s="128" t="n">
        <x:f>D536/SUMIF($C$4:$C$802,C536,$D$4:$D$802)</x:f>
        <x:v>0.0016966649033968027</x:v>
      </x:c>
      <x:c r="J536" s="103" t="n">
        <x:f>(D536/SUMIF($A$4:$A$802,A536,$D$4:$D$802))/(SUMIF($C$4:$C$802,C536,$D$4:$D$802)/SUM($D$4:$D$802))</x:f>
        <x:v>0.3315000436126176</x:v>
      </x:c>
    </x:row>
    <x:row r="537">
      <x:c r="A537" s="101" t="str">
        <x:v>島根県</x:v>
      </x:c>
      <x:c r="B537" s="101" t="str">
        <x:v>H</x:v>
      </x:c>
      <x:c r="C537" s="101" t="str">
        <x:v>運輸業，郵便業</x:v>
      </x:c>
      <x:c r="D537" s="102" t="n">
        <x:v>11961</x:v>
      </x:c>
      <x:c r="E537" s="102" t="n">
        <x:f>1+COUNTIFS($C$4:$C$802,C537,$D$4:$D$802,"&gt;"&amp;D537)</x:f>
        <x:v>46</x:v>
      </x:c>
      <x:c r="F537" s="102" t="n">
        <x:v>671126</x:v>
      </x:c>
      <x:c r="G537" s="126" t="n">
        <x:f>D537/F537*10000</x:f>
        <x:v>178.2228672410248</x:v>
      </x:c>
      <x:c r="H537" s="127" t="n">
        <x:f>1+COUNTIFS($C$4:$C$802,C537,$G$4:$G$802,"&gt;"&amp;G537)</x:f>
        <x:v>43</x:v>
      </x:c>
      <x:c r="I537" s="128" t="n">
        <x:f>D537/SUMIF($C$4:$C$802,C537,$D$4:$D$802)</x:f>
        <x:v>0.0036636981757166127</x:v>
      </x:c>
      <x:c r="J537" s="103" t="n">
        <x:f>(D537/SUMIF($A$4:$A$802,A537,$D$4:$D$802))/(SUMIF($C$4:$C$802,C537,$D$4:$D$802)/SUM($D$4:$D$802))</x:f>
        <x:v>0.715825560251766</x:v>
      </x:c>
    </x:row>
    <x:row r="538">
      <x:c r="A538" s="101" t="str">
        <x:v>島根県</x:v>
      </x:c>
      <x:c r="B538" s="101" t="str">
        <x:v>I</x:v>
      </x:c>
      <x:c r="C538" s="101" t="str">
        <x:v>卸売業，小売業</x:v>
      </x:c>
      <x:c r="D538" s="102" t="n">
        <x:v>57786</x:v>
      </x:c>
      <x:c r="E538" s="102" t="n">
        <x:f>1+COUNTIFS($C$4:$C$802,C538,$D$4:$D$802,"&gt;"&amp;D538)</x:f>
        <x:v>46</x:v>
      </x:c>
      <x:c r="F538" s="102" t="n">
        <x:v>671126</x:v>
      </x:c>
      <x:c r="G538" s="126" t="n">
        <x:f>D538/F538*10000</x:f>
        <x:v>861.0305665404112</x:v>
      </x:c>
      <x:c r="H538" s="127" t="n">
        <x:f>1+COUNTIFS($C$4:$C$802,C538,$G$4:$G$802,"&gt;"&amp;G538)</x:f>
        <x:v>19</x:v>
      </x:c>
      <x:c r="I538" s="128" t="n">
        <x:f>D538/SUMIF($C$4:$C$802,C538,$D$4:$D$802)</x:f>
        <x:v>0.004976436290833457</x:v>
      </x:c>
      <x:c r="J538" s="103" t="n">
        <x:f>(D538/SUMIF($A$4:$A$802,A538,$D$4:$D$802))/(SUMIF($C$4:$C$802,C538,$D$4:$D$802)/SUM($D$4:$D$802))</x:f>
        <x:v>0.9723127083868768</x:v>
      </x:c>
    </x:row>
    <x:row r="539">
      <x:c r="A539" s="101" t="str">
        <x:v>島根県</x:v>
      </x:c>
      <x:c r="B539" s="101" t="str">
        <x:v>J</x:v>
      </x:c>
      <x:c r="C539" s="101" t="str">
        <x:v>金融業，保険業</x:v>
      </x:c>
      <x:c r="D539" s="102" t="n">
        <x:v>6982</x:v>
      </x:c>
      <x:c r="E539" s="102" t="n">
        <x:f>1+COUNTIFS($C$4:$C$802,C539,$D$4:$D$802,"&gt;"&amp;D539)</x:f>
        <x:v>46</x:v>
      </x:c>
      <x:c r="F539" s="102" t="n">
        <x:v>671126</x:v>
      </x:c>
      <x:c r="G539" s="126" t="n">
        <x:f>D539/F539*10000</x:f>
        <x:v>104.03411579941769</x:v>
      </x:c>
      <x:c r="H539" s="127" t="n">
        <x:f>1+COUNTIFS($C$4:$C$802,C539,$G$4:$G$802,"&gt;"&amp;G539)</x:f>
        <x:v>15</x:v>
      </x:c>
      <x:c r="I539" s="128" t="n">
        <x:f>D539/SUMIF($C$4:$C$802,C539,$D$4:$D$802)</x:f>
        <x:v>0.004671996659609378</x:v>
      </x:c>
      <x:c r="J539" s="103" t="n">
        <x:f>(D539/SUMIF($A$4:$A$802,A539,$D$4:$D$802))/(SUMIF($C$4:$C$802,C539,$D$4:$D$802)/SUM($D$4:$D$802))</x:f>
        <x:v>0.9128302785764049</x:v>
      </x:c>
    </x:row>
    <x:row r="540">
      <x:c r="A540" s="101" t="str">
        <x:v>島根県</x:v>
      </x:c>
      <x:c r="B540" s="101" t="str">
        <x:v>K</x:v>
      </x:c>
      <x:c r="C540" s="101" t="str">
        <x:v>不動産業，物品賃貸業</x:v>
      </x:c>
      <x:c r="D540" s="102" t="n">
        <x:v>5549</x:v>
      </x:c>
      <x:c r="E540" s="102" t="n">
        <x:f>1+COUNTIFS($C$4:$C$802,C540,$D$4:$D$802,"&gt;"&amp;D540)</x:f>
        <x:v>44</x:v>
      </x:c>
      <x:c r="F540" s="102" t="n">
        <x:v>671126</x:v>
      </x:c>
      <x:c r="G540" s="126" t="n">
        <x:f>D540/F540*10000</x:f>
        <x:v>82.68194049999552</x:v>
      </x:c>
      <x:c r="H540" s="127" t="n">
        <x:f>1+COUNTIFS($C$4:$C$802,C540,$G$4:$G$802,"&gt;"&amp;G540)</x:f>
        <x:v>31</x:v>
      </x:c>
      <x:c r="I540" s="128" t="n">
        <x:f>D540/SUMIF($C$4:$C$802,C540,$D$4:$D$802)</x:f>
        <x:v>0.003429250162841488</x:v>
      </x:c>
      <x:c r="J540" s="103" t="n">
        <x:f>(D540/SUMIF($A$4:$A$802,A540,$D$4:$D$802))/(SUMIF($C$4:$C$802,C540,$D$4:$D$802)/SUM($D$4:$D$802))</x:f>
        <x:v>0.6700183261082429</x:v>
      </x:c>
    </x:row>
    <x:row r="541">
      <x:c r="A541" s="101" t="str">
        <x:v>島根県</x:v>
      </x:c>
      <x:c r="B541" s="101" t="str">
        <x:v>L</x:v>
      </x:c>
      <x:c r="C541" s="101" t="str">
        <x:v>学術研究，専門・技術サービス業</x:v>
      </x:c>
      <x:c r="D541" s="102" t="n">
        <x:v>7372</x:v>
      </x:c>
      <x:c r="E541" s="102" t="n">
        <x:f>1+COUNTIFS($C$4:$C$802,C541,$D$4:$D$802,"&gt;"&amp;D541)</x:f>
        <x:v>43</x:v>
      </x:c>
      <x:c r="F541" s="102" t="n">
        <x:v>671126</x:v>
      </x:c>
      <x:c r="G541" s="126" t="n">
        <x:f>D541/F541*10000</x:f>
        <x:v>109.84524515515716</x:v>
      </x:c>
      <x:c r="H541" s="127" t="n">
        <x:f>1+COUNTIFS($C$4:$C$802,C541,$G$4:$G$802,"&gt;"&amp;G541)</x:f>
        <x:v>22</x:v>
      </x:c>
      <x:c r="I541" s="128" t="n">
        <x:f>D541/SUMIF($C$4:$C$802,C541,$D$4:$D$802)</x:f>
        <x:v>0.00347913087799445</x:v>
      </x:c>
      <x:c r="J541" s="103" t="n">
        <x:f>(D541/SUMIF($A$4:$A$802,A541,$D$4:$D$802))/(SUMIF($C$4:$C$802,C541,$D$4:$D$802)/SUM($D$4:$D$802))</x:f>
        <x:v>0.6797641864814554</x:v>
      </x:c>
    </x:row>
    <x:row r="542">
      <x:c r="A542" s="101" t="str">
        <x:v>島根県</x:v>
      </x:c>
      <x:c r="B542" s="101" t="str">
        <x:v>M</x:v>
      </x:c>
      <x:c r="C542" s="101" t="str">
        <x:v>宿泊業，飲食サービス業</x:v>
      </x:c>
      <x:c r="D542" s="102" t="n">
        <x:v>20706</x:v>
      </x:c>
      <x:c r="E542" s="102" t="n">
        <x:f>1+COUNTIFS($C$4:$C$802,C542,$D$4:$D$802,"&gt;"&amp;D542)</x:f>
        <x:v>46</x:v>
      </x:c>
      <x:c r="F542" s="102" t="n">
        <x:v>671126</x:v>
      </x:c>
      <x:c r="G542" s="126" t="n">
        <x:f>D542/F542*10000</x:f>
        <x:v>308.5262677947211</x:v>
      </x:c>
      <x:c r="H542" s="127" t="n">
        <x:f>1+COUNTIFS($C$4:$C$802,C542,$G$4:$G$802,"&gt;"&amp;G542)</x:f>
        <x:v>39</x:v>
      </x:c>
      <x:c r="I542" s="128" t="n">
        <x:f>D542/SUMIF($C$4:$C$802,C542,$D$4:$D$802)</x:f>
        <x:v>0.004425551414601242</x:v>
      </x:c>
      <x:c r="J542" s="103" t="n">
        <x:f>(D542/SUMIF($A$4:$A$802,A542,$D$4:$D$802))/(SUMIF($C$4:$C$802,C542,$D$4:$D$802)/SUM($D$4:$D$802))</x:f>
        <x:v>0.8646789852333536</x:v>
      </x:c>
    </x:row>
    <x:row r="543">
      <x:c r="A543" s="101" t="str">
        <x:v>島根県</x:v>
      </x:c>
      <x:c r="B543" s="101" t="str">
        <x:v>N</x:v>
      </x:c>
      <x:c r="C543" s="101" t="str">
        <x:v>生活関連サービス業，娯楽業</x:v>
      </x:c>
      <x:c r="D543" s="102" t="n">
        <x:v>10499</x:v>
      </x:c>
      <x:c r="E543" s="102" t="n">
        <x:f>1+COUNTIFS($C$4:$C$802,C543,$D$4:$D$802,"&gt;"&amp;D543)</x:f>
        <x:v>46</x:v>
      </x:c>
      <x:c r="F543" s="102" t="n">
        <x:v>671126</x:v>
      </x:c>
      <x:c r="G543" s="126" t="n">
        <x:f>D543/F543*10000</x:f>
        <x:v>156.4385823228425</x:v>
      </x:c>
      <x:c r="H543" s="127" t="n">
        <x:f>1+COUNTIFS($C$4:$C$802,C543,$G$4:$G$802,"&gt;"&amp;G543)</x:f>
        <x:v>41</x:v>
      </x:c>
      <x:c r="I543" s="128" t="n">
        <x:f>D543/SUMIF($C$4:$C$802,C543,$D$4:$D$802)</x:f>
        <x:v>0.004824599899179234</x:v>
      </x:c>
      <x:c r="J543" s="103" t="n">
        <x:f>(D543/SUMIF($A$4:$A$802,A543,$D$4:$D$802))/(SUMIF($C$4:$C$802,C543,$D$4:$D$802)/SUM($D$4:$D$802))</x:f>
        <x:v>0.9426464081324266</x:v>
      </x:c>
    </x:row>
    <x:row r="544">
      <x:c r="A544" s="101" t="str">
        <x:v>島根県</x:v>
      </x:c>
      <x:c r="B544" s="101" t="str">
        <x:v>O</x:v>
      </x:c>
      <x:c r="C544" s="101" t="str">
        <x:v>教育，学習支援業</x:v>
      </x:c>
      <x:c r="D544" s="102" t="n">
        <x:v>7035</x:v>
      </x:c>
      <x:c r="E544" s="102" t="n">
        <x:f>1+COUNTIFS($C$4:$C$802,C544,$D$4:$D$802,"&gt;"&amp;D544)</x:f>
        <x:v>47</x:v>
      </x:c>
      <x:c r="F544" s="102" t="n">
        <x:v>671126</x:v>
      </x:c>
      <x:c r="G544" s="126" t="n">
        <x:f>D544/F544*10000</x:f>
        <x:v>104.823833378531</x:v>
      </x:c>
      <x:c r="H544" s="127" t="n">
        <x:f>1+COUNTIFS($C$4:$C$802,C544,$G$4:$G$802,"&gt;"&amp;G544)</x:f>
        <x:v>43</x:v>
      </x:c>
      <x:c r="I544" s="128" t="n">
        <x:f>D544/SUMIF($C$4:$C$802,C544,$D$4:$D$802)</x:f>
        <x:v>0.0036063348462681225</x:v>
      </x:c>
      <x:c r="J544" s="103" t="n">
        <x:f>(D544/SUMIF($A$4:$A$802,A544,$D$4:$D$802))/(SUMIF($C$4:$C$802,C544,$D$4:$D$802)/SUM($D$4:$D$802))</x:f>
        <x:v>0.7046177217588091</x:v>
      </x:c>
    </x:row>
    <x:row r="545">
      <x:c r="A545" s="101" t="str">
        <x:v>島根県</x:v>
      </x:c>
      <x:c r="B545" s="101" t="str">
        <x:v>P</x:v>
      </x:c>
      <x:c r="C545" s="101" t="str">
        <x:v>医療，福祉</x:v>
      </x:c>
      <x:c r="D545" s="102" t="n">
        <x:v>53421</x:v>
      </x:c>
      <x:c r="E545" s="102" t="n">
        <x:f>1+COUNTIFS($C$4:$C$802,C545,$D$4:$D$802,"&gt;"&amp;D545)</x:f>
        <x:v>44</x:v>
      </x:c>
      <x:c r="F545" s="102" t="n">
        <x:v>671126</x:v>
      </x:c>
      <x:c r="G545" s="126" t="n">
        <x:f>D545/F545*10000</x:f>
        <x:v>795.9906187511734</x:v>
      </x:c>
      <x:c r="H545" s="127" t="n">
        <x:f>1+COUNTIFS($C$4:$C$802,C545,$G$4:$G$802,"&gt;"&amp;G545)</x:f>
        <x:v>8</x:v>
      </x:c>
      <x:c r="I545" s="128" t="n">
        <x:f>D545/SUMIF($C$4:$C$802,C545,$D$4:$D$802)</x:f>
        <x:v>0.006544767848860102</x:v>
      </x:c>
      <x:c r="J545" s="103" t="n">
        <x:f>(D545/SUMIF($A$4:$A$802,A545,$D$4:$D$802))/(SUMIF($C$4:$C$802,C545,$D$4:$D$802)/SUM($D$4:$D$802))</x:f>
        <x:v>1.278738555260947</x:v>
      </x:c>
    </x:row>
    <x:row r="546">
      <x:c r="A546" s="101" t="str">
        <x:v>島根県</x:v>
      </x:c>
      <x:c r="B546" s="101" t="str">
        <x:v>Q</x:v>
      </x:c>
      <x:c r="C546" s="101" t="str">
        <x:v>複合サービス事業</x:v>
      </x:c>
      <x:c r="D546" s="102" t="n">
        <x:v>3391</x:v>
      </x:c>
      <x:c r="E546" s="102" t="n">
        <x:f>1+COUNTIFS($C$4:$C$802,C546,$D$4:$D$802,"&gt;"&amp;D546)</x:f>
        <x:v>45</x:v>
      </x:c>
      <x:c r="F546" s="102" t="n">
        <x:v>671126</x:v>
      </x:c>
      <x:c r="G546" s="126" t="n">
        <x:f>D546/F546*10000</x:f>
        <x:v>50.52702473157053</x:v>
      </x:c>
      <x:c r="H546" s="127" t="n">
        <x:f>1+COUNTIFS($C$4:$C$802,C546,$G$4:$G$802,"&gt;"&amp;G546)</x:f>
        <x:v>14</x:v>
      </x:c>
      <x:c r="I546" s="128" t="n">
        <x:f>D546/SUMIF($C$4:$C$802,C546,$D$4:$D$802)</x:f>
        <x:v>0.007778058123265362</x:v>
      </x:c>
      <x:c r="J546" s="103" t="n">
        <x:f>(D546/SUMIF($A$4:$A$802,A546,$D$4:$D$802))/(SUMIF($C$4:$C$802,C546,$D$4:$D$802)/SUM($D$4:$D$802))</x:f>
        <x:v>1.519702919487408</x:v>
      </x:c>
    </x:row>
    <x:row r="547">
      <x:c r="A547" s="101" t="str">
        <x:v>島根県</x:v>
      </x:c>
      <x:c r="B547" s="101" t="str">
        <x:v>R</x:v>
      </x:c>
      <x:c r="C547" s="101" t="str">
        <x:v>サービス業（他に分類されないもの）</x:v>
      </x:c>
      <x:c r="D547" s="102" t="n">
        <x:v>27790</x:v>
      </x:c>
      <x:c r="E547" s="102" t="n">
        <x:f>1+COUNTIFS($C$4:$C$802,C547,$D$4:$D$802,"&gt;"&amp;D547)</x:f>
        <x:v>41</x:v>
      </x:c>
      <x:c r="F547" s="102" t="n">
        <x:v>671126</x:v>
      </x:c>
      <x:c r="G547" s="126" t="n">
        <x:f>D547/F547*10000</x:f>
        <x:v>414.08021742563994</x:v>
      </x:c>
      <x:c r="H547" s="127" t="n">
        <x:f>1+COUNTIFS($C$4:$C$802,C547,$G$4:$G$802,"&gt;"&amp;G547)</x:f>
        <x:v>6</x:v>
      </x:c>
      <x:c r="I547" s="128" t="n">
        <x:f>D547/SUMIF($C$4:$C$802,C547,$D$4:$D$802)</x:f>
        <x:v>0.005309172871368427</x:v>
      </x:c>
      <x:c r="J547" s="103" t="n">
        <x:f>(D547/SUMIF($A$4:$A$802,A547,$D$4:$D$802))/(SUMIF($C$4:$C$802,C547,$D$4:$D$802)/SUM($D$4:$D$802))</x:f>
        <x:v>1.0373238904641542</x:v>
      </x:c>
    </x:row>
    <x:row r="548">
      <x:c r="A548" s="101" t="str">
        <x:v>岡山県</x:v>
      </x:c>
      <x:c r="B548" s="101" t="str">
        <x:v>AB</x:v>
      </x:c>
      <x:c r="C548" s="101" t="str">
        <x:v>農林漁業</x:v>
      </x:c>
      <x:c r="D548" s="102" t="n">
        <x:v>7146</x:v>
      </x:c>
      <x:c r="E548" s="102" t="n">
        <x:f>1+COUNTIFS($C$4:$C$802,C548,$D$4:$D$802,"&gt;"&amp;D548)</x:f>
        <x:v>30</x:v>
      </x:c>
      <x:c r="F548" s="102" t="n">
        <x:v>1888432</x:v>
      </x:c>
      <x:c r="G548" s="126" t="n">
        <x:f>D548/F548*10000</x:f>
        <x:v>37.840917756106656</x:v>
      </x:c>
      <x:c r="H548" s="127" t="n">
        <x:f>1+COUNTIFS($C$4:$C$802,C548,$G$4:$G$802,"&gt;"&amp;G548)</x:f>
        <x:v>35</x:v>
      </x:c>
      <x:c r="I548" s="128" t="n">
        <x:f>D548/SUMIF($C$4:$C$802,C548,$D$4:$D$802)</x:f>
        <x:v>0.015750391776117856</x:v>
      </x:c>
      <x:c r="J548" s="103" t="n">
        <x:f>(D548/SUMIF($A$4:$A$802,A548,$D$4:$D$802))/(SUMIF($C$4:$C$802,C548,$D$4:$D$802)/SUM($D$4:$D$802))</x:f>
        <x:v>1.0880516225907815</x:v>
      </x:c>
    </x:row>
    <x:row r="549">
      <x:c r="A549" s="101" t="str">
        <x:v>岡山県</x:v>
      </x:c>
      <x:c r="B549" s="101" t="str">
        <x:v>C</x:v>
      </x:c>
      <x:c r="C549" s="101" t="str">
        <x:v>鉱業，採石業，砂利採取業</x:v>
      </x:c>
      <x:c r="D549" s="102" t="n">
        <x:v>332</x:v>
      </x:c>
      <x:c r="E549" s="102" t="n">
        <x:f>1+COUNTIFS($C$4:$C$802,C549,$D$4:$D$802,"&gt;"&amp;D549)</x:f>
        <x:v>25</x:v>
      </x:c>
      <x:c r="F549" s="102" t="n">
        <x:v>1888432</x:v>
      </x:c>
      <x:c r="G549" s="126" t="n">
        <x:f>D549/F549*10000</x:f>
        <x:v>1.7580723054894218</x:v>
      </x:c>
      <x:c r="H549" s="127" t="n">
        <x:f>1+COUNTIFS($C$4:$C$802,C549,$G$4:$G$802,"&gt;"&amp;G549)</x:f>
        <x:v>22</x:v>
      </x:c>
      <x:c r="I549" s="128" t="n">
        <x:f>D549/SUMIF($C$4:$C$802,C549,$D$4:$D$802)</x:f>
        <x:v>0.016855358684063564</x:v>
      </x:c>
      <x:c r="J549" s="103" t="n">
        <x:f>(D549/SUMIF($A$4:$A$802,A549,$D$4:$D$802))/(SUMIF($C$4:$C$802,C549,$D$4:$D$802)/SUM($D$4:$D$802))</x:f>
        <x:v>1.1643837579553389</x:v>
      </x:c>
    </x:row>
    <x:row r="550">
      <x:c r="A550" s="101" t="str">
        <x:v>岡山県</x:v>
      </x:c>
      <x:c r="B550" s="101" t="str">
        <x:v>D</x:v>
      </x:c>
      <x:c r="C550" s="101" t="str">
        <x:v>建設業</x:v>
      </x:c>
      <x:c r="D550" s="102" t="n">
        <x:v>59984</x:v>
      </x:c>
      <x:c r="E550" s="102" t="n">
        <x:f>1+COUNTIFS($C$4:$C$802,C550,$D$4:$D$802,"&gt;"&amp;D550)</x:f>
        <x:v>18</x:v>
      </x:c>
      <x:c r="F550" s="102" t="n">
        <x:v>1888432</x:v>
      </x:c>
      <x:c r="G550" s="126" t="n">
        <x:f>D550/F550*10000</x:f>
        <x:v>317.6391842544503</x:v>
      </x:c>
      <x:c r="H550" s="127" t="n">
        <x:f>1+COUNTIFS($C$4:$C$802,C550,$G$4:$G$802,"&gt;"&amp;G550)</x:f>
        <x:v>21</x:v>
      </x:c>
      <x:c r="I550" s="128" t="n">
        <x:f>D550/SUMIF($C$4:$C$802,C550,$D$4:$D$802)</x:f>
        <x:v>0.01604959577676014</x:v>
      </x:c>
      <x:c r="J550" s="103" t="n">
        <x:f>(D550/SUMIF($A$4:$A$802,A550,$D$4:$D$802))/(SUMIF($C$4:$C$802,C550,$D$4:$D$802)/SUM($D$4:$D$802))</x:f>
        <x:v>1.1087209115209855</x:v>
      </x:c>
    </x:row>
    <x:row r="551">
      <x:c r="A551" s="101" t="str">
        <x:v>岡山県</x:v>
      </x:c>
      <x:c r="B551" s="101" t="str">
        <x:v>E</x:v>
      </x:c>
      <x:c r="C551" s="101" t="str">
        <x:v>製造業</x:v>
      </x:c>
      <x:c r="D551" s="102" t="n">
        <x:v>163799</x:v>
      </x:c>
      <x:c r="E551" s="102" t="n">
        <x:f>1+COUNTIFS($C$4:$C$802,C551,$D$4:$D$802,"&gt;"&amp;D551)</x:f>
        <x:v>22</x:v>
      </x:c>
      <x:c r="F551" s="102" t="n">
        <x:v>1888432</x:v>
      </x:c>
      <x:c r="G551" s="126" t="n">
        <x:f>D551/F551*10000</x:f>
        <x:v>867.3809806230778</x:v>
      </x:c>
      <x:c r="H551" s="127" t="n">
        <x:f>1+COUNTIFS($C$4:$C$802,C551,$G$4:$G$802,"&gt;"&amp;G551)</x:f>
        <x:v>17</x:v>
      </x:c>
      <x:c r="I551" s="128" t="n">
        <x:f>D551/SUMIF($C$4:$C$802,C551,$D$4:$D$802)</x:f>
        <x:v>0.01860582034051131</x:v>
      </x:c>
      <x:c r="J551" s="103" t="n">
        <x:f>(D551/SUMIF($A$4:$A$802,A551,$D$4:$D$802))/(SUMIF($C$4:$C$802,C551,$D$4:$D$802)/SUM($D$4:$D$802))</x:f>
        <x:v>1.2853072672021901</x:v>
      </x:c>
    </x:row>
    <x:row r="552">
      <x:c r="A552" s="101" t="str">
        <x:v>岡山県</x:v>
      </x:c>
      <x:c r="B552" s="101" t="str">
        <x:v>F</x:v>
      </x:c>
      <x:c r="C552" s="101" t="str">
        <x:v>電気・ガス・熱供給・水道業</x:v>
      </x:c>
      <x:c r="D552" s="102" t="n">
        <x:v>1936</x:v>
      </x:c>
      <x:c r="E552" s="102" t="n">
        <x:f>1+COUNTIFS($C$4:$C$802,C552,$D$4:$D$802,"&gt;"&amp;D552)</x:f>
        <x:v>29</x:v>
      </x:c>
      <x:c r="F552" s="102" t="n">
        <x:v>1888432</x:v>
      </x:c>
      <x:c r="G552" s="126" t="n">
        <x:f>D552/F552*10000</x:f>
        <x:v>10.251891516347953</x:v>
      </x:c>
      <x:c r="H552" s="127" t="n">
        <x:f>1+COUNTIFS($C$4:$C$802,C552,$G$4:$G$802,"&gt;"&amp;G552)</x:f>
        <x:v>40</x:v>
      </x:c>
      <x:c r="I552" s="128" t="n">
        <x:f>D552/SUMIF($C$4:$C$802,C552,$D$4:$D$802)</x:f>
        <x:v>0.009577094123641472</x:v>
      </x:c>
      <x:c r="J552" s="103" t="n">
        <x:f>(D552/SUMIF($A$4:$A$802,A552,$D$4:$D$802))/(SUMIF($C$4:$C$802,C552,$D$4:$D$802)/SUM($D$4:$D$802))</x:f>
        <x:v>0.6615945145398248</x:v>
      </x:c>
    </x:row>
    <x:row r="553">
      <x:c r="A553" s="101" t="str">
        <x:v>岡山県</x:v>
      </x:c>
      <x:c r="B553" s="101" t="str">
        <x:v>G</x:v>
      </x:c>
      <x:c r="C553" s="101" t="str">
        <x:v>情報通信業</x:v>
      </x:c>
      <x:c r="D553" s="102" t="n">
        <x:v>11395</x:v>
      </x:c>
      <x:c r="E553" s="102" t="n">
        <x:f>1+COUNTIFS($C$4:$C$802,C553,$D$4:$D$802,"&gt;"&amp;D553)</x:f>
        <x:v>18</x:v>
      </x:c>
      <x:c r="F553" s="102" t="n">
        <x:v>1888432</x:v>
      </x:c>
      <x:c r="G553" s="126" t="n">
        <x:f>D553/F553*10000</x:f>
        <x:v>60.341066027264944</x:v>
      </x:c>
      <x:c r="H553" s="127" t="n">
        <x:f>1+COUNTIFS($C$4:$C$802,C553,$G$4:$G$802,"&gt;"&amp;G553)</x:f>
        <x:v>18</x:v>
      </x:c>
      <x:c r="I553" s="128" t="n">
        <x:f>D553/SUMIF($C$4:$C$802,C553,$D$4:$D$802)</x:f>
        <x:v>0.005735240751767003</x:v>
      </x:c>
      <x:c r="J553" s="103" t="n">
        <x:f>(D553/SUMIF($A$4:$A$802,A553,$D$4:$D$802))/(SUMIF($C$4:$C$802,C553,$D$4:$D$802)/SUM($D$4:$D$802))</x:f>
        <x:v>0.39619573243700923</x:v>
      </x:c>
    </x:row>
    <x:row r="554">
      <x:c r="A554" s="101" t="str">
        <x:v>岡山県</x:v>
      </x:c>
      <x:c r="B554" s="101" t="str">
        <x:v>H</x:v>
      </x:c>
      <x:c r="C554" s="101" t="str">
        <x:v>運輸業，郵便業</x:v>
      </x:c>
      <x:c r="D554" s="102" t="n">
        <x:v>52865</x:v>
      </x:c>
      <x:c r="E554" s="102" t="n">
        <x:f>1+COUNTIFS($C$4:$C$802,C554,$D$4:$D$802,"&gt;"&amp;D554)</x:f>
        <x:v>15</x:v>
      </x:c>
      <x:c r="F554" s="102" t="n">
        <x:v>1888432</x:v>
      </x:c>
      <x:c r="G554" s="126" t="n">
        <x:f>D554/F554*10000</x:f>
        <x:v>279.9412422581274</x:v>
      </x:c>
      <x:c r="H554" s="127" t="n">
        <x:f>1+COUNTIFS($C$4:$C$802,C554,$G$4:$G$802,"&gt;"&amp;G554)</x:f>
        <x:v>5</x:v>
      </x:c>
      <x:c r="I554" s="128" t="n">
        <x:f>D554/SUMIF($C$4:$C$802,C554,$D$4:$D$802)</x:f>
        <x:v>0.01619274342105666</x:v>
      </x:c>
      <x:c r="J554" s="103" t="n">
        <x:f>(D554/SUMIF($A$4:$A$802,A554,$D$4:$D$802))/(SUMIF($C$4:$C$802,C554,$D$4:$D$802)/SUM($D$4:$D$802))</x:f>
        <x:v>1.1186096831058958</x:v>
      </x:c>
    </x:row>
    <x:row r="555">
      <x:c r="A555" s="101" t="str">
        <x:v>岡山県</x:v>
      </x:c>
      <x:c r="B555" s="101" t="str">
        <x:v>I</x:v>
      </x:c>
      <x:c r="C555" s="101" t="str">
        <x:v>卸売業，小売業</x:v>
      </x:c>
      <x:c r="D555" s="102" t="n">
        <x:v>160365</x:v>
      </x:c>
      <x:c r="E555" s="102" t="n">
        <x:f>1+COUNTIFS($C$4:$C$802,C555,$D$4:$D$802,"&gt;"&amp;D555)</x:f>
        <x:v>19</x:v>
      </x:c>
      <x:c r="F555" s="102" t="n">
        <x:v>1888432</x:v>
      </x:c>
      <x:c r="G555" s="126" t="n">
        <x:f>D555/F555*10000</x:f>
        <x:v>849.1965821379854</x:v>
      </x:c>
      <x:c r="H555" s="127" t="n">
        <x:f>1+COUNTIFS($C$4:$C$802,C555,$G$4:$G$802,"&gt;"&amp;G555)</x:f>
        <x:v>25</x:v>
      </x:c>
      <x:c r="I555" s="128" t="n">
        <x:f>D555/SUMIF($C$4:$C$802,C555,$D$4:$D$802)</x:f>
        <x:v>0.013810372854662157</x:v>
      </x:c>
      <x:c r="J555" s="103" t="n">
        <x:f>(D555/SUMIF($A$4:$A$802,A555,$D$4:$D$802))/(SUMIF($C$4:$C$802,C555,$D$4:$D$802)/SUM($D$4:$D$802))</x:f>
        <x:v>0.9540333222620659</x:v>
      </x:c>
    </x:row>
    <x:row r="556">
      <x:c r="A556" s="101" t="str">
        <x:v>岡山県</x:v>
      </x:c>
      <x:c r="B556" s="101" t="str">
        <x:v>J</x:v>
      </x:c>
      <x:c r="C556" s="101" t="str">
        <x:v>金融業，保険業</x:v>
      </x:c>
      <x:c r="D556" s="102" t="n">
        <x:v>17755</x:v>
      </x:c>
      <x:c r="E556" s="102" t="n">
        <x:f>1+COUNTIFS($C$4:$C$802,C556,$D$4:$D$802,"&gt;"&amp;D556)</x:f>
        <x:v>19</x:v>
      </x:c>
      <x:c r="F556" s="102" t="n">
        <x:v>1888432</x:v>
      </x:c>
      <x:c r="G556" s="126" t="n">
        <x:f>D556/F556*10000</x:f>
        <x:v>94.0198005541105</x:v>
      </x:c>
      <x:c r="H556" s="127" t="n">
        <x:f>1+COUNTIFS($C$4:$C$802,C556,$G$4:$G$802,"&gt;"&amp;G556)</x:f>
        <x:v>30</x:v>
      </x:c>
      <x:c r="I556" s="128" t="n">
        <x:f>D556/SUMIF($C$4:$C$802,C556,$D$4:$D$802)</x:f>
        <x:v>0.011880736277766328</x:v>
      </x:c>
      <x:c r="J556" s="103" t="n">
        <x:f>(D556/SUMIF($A$4:$A$802,A556,$D$4:$D$802))/(SUMIF($C$4:$C$802,C556,$D$4:$D$802)/SUM($D$4:$D$802))</x:f>
        <x:v>0.8207322438923493</x:v>
      </x:c>
    </x:row>
    <x:row r="557">
      <x:c r="A557" s="101" t="str">
        <x:v>岡山県</x:v>
      </x:c>
      <x:c r="B557" s="101" t="str">
        <x:v>K</x:v>
      </x:c>
      <x:c r="C557" s="101" t="str">
        <x:v>不動産業，物品賃貸業</x:v>
      </x:c>
      <x:c r="D557" s="102" t="n">
        <x:v>19468</x:v>
      </x:c>
      <x:c r="E557" s="102" t="n">
        <x:f>1+COUNTIFS($C$4:$C$802,C557,$D$4:$D$802,"&gt;"&amp;D557)</x:f>
        <x:v>17</x:v>
      </x:c>
      <x:c r="F557" s="102" t="n">
        <x:v>1888432</x:v>
      </x:c>
      <x:c r="G557" s="126" t="n">
        <x:f>D557/F557*10000</x:f>
        <x:v>103.09081820261466</x:v>
      </x:c>
      <x:c r="H557" s="127" t="n">
        <x:f>1+COUNTIFS($C$4:$C$802,C557,$G$4:$G$802,"&gt;"&amp;G557)</x:f>
        <x:v>13</x:v>
      </x:c>
      <x:c r="I557" s="128" t="n">
        <x:f>D557/SUMIF($C$4:$C$802,C557,$D$4:$D$802)</x:f>
        <x:v>0.012031112303153377</x:v>
      </x:c>
      <x:c r="J557" s="103" t="n">
        <x:f>(D557/SUMIF($A$4:$A$802,A557,$D$4:$D$802))/(SUMIF($C$4:$C$802,C557,$D$4:$D$802)/SUM($D$4:$D$802))</x:f>
        <x:v>0.8311203587244655</x:v>
      </x:c>
    </x:row>
    <x:row r="558">
      <x:c r="A558" s="101" t="str">
        <x:v>岡山県</x:v>
      </x:c>
      <x:c r="B558" s="101" t="str">
        <x:v>L</x:v>
      </x:c>
      <x:c r="C558" s="101" t="str">
        <x:v>学術研究，専門・技術サービス業</x:v>
      </x:c>
      <x:c r="D558" s="102" t="n">
        <x:v>23923</x:v>
      </x:c>
      <x:c r="E558" s="102" t="n">
        <x:f>1+COUNTIFS($C$4:$C$802,C558,$D$4:$D$802,"&gt;"&amp;D558)</x:f>
        <x:v>16</x:v>
      </x:c>
      <x:c r="F558" s="102" t="n">
        <x:v>1888432</x:v>
      </x:c>
      <x:c r="G558" s="126" t="n">
        <x:f>D558/F558*10000</x:f>
        <x:v>126.68181856693806</x:v>
      </x:c>
      <x:c r="H558" s="127" t="n">
        <x:f>1+COUNTIFS($C$4:$C$802,C558,$G$4:$G$802,"&gt;"&amp;G558)</x:f>
        <x:v>14</x:v>
      </x:c>
      <x:c r="I558" s="128" t="n">
        <x:f>D558/SUMIF($C$4:$C$802,C558,$D$4:$D$802)</x:f>
        <x:v>0.011290185566231854</x:v>
      </x:c>
      <x:c r="J558" s="103" t="n">
        <x:f>(D558/SUMIF($A$4:$A$802,A558,$D$4:$D$802))/(SUMIF($C$4:$C$802,C558,$D$4:$D$802)/SUM($D$4:$D$802))</x:f>
        <x:v>0.7799364548706746</x:v>
      </x:c>
    </x:row>
    <x:row r="559">
      <x:c r="A559" s="101" t="str">
        <x:v>岡山県</x:v>
      </x:c>
      <x:c r="B559" s="101" t="str">
        <x:v>M</x:v>
      </x:c>
      <x:c r="C559" s="101" t="str">
        <x:v>宿泊業，飲食サービス業</x:v>
      </x:c>
      <x:c r="D559" s="102" t="n">
        <x:v>58112</x:v>
      </x:c>
      <x:c r="E559" s="102" t="n">
        <x:f>1+COUNTIFS($C$4:$C$802,C559,$D$4:$D$802,"&gt;"&amp;D559)</x:f>
        <x:v>24</x:v>
      </x:c>
      <x:c r="F559" s="102" t="n">
        <x:v>1888432</x:v>
      </x:c>
      <x:c r="G559" s="126" t="n">
        <x:f>D559/F559*10000</x:f>
        <x:v>307.72619824277496</x:v>
      </x:c>
      <x:c r="H559" s="127" t="n">
        <x:f>1+COUNTIFS($C$4:$C$802,C559,$G$4:$G$802,"&gt;"&amp;G559)</x:f>
        <x:v>40</x:v>
      </x:c>
      <x:c r="I559" s="128" t="n">
        <x:f>D559/SUMIF($C$4:$C$802,C559,$D$4:$D$802)</x:f>
        <x:v>0.01242044063582089</x:v>
      </x:c>
      <x:c r="J559" s="103" t="n">
        <x:f>(D559/SUMIF($A$4:$A$802,A559,$D$4:$D$802))/(SUMIF($C$4:$C$802,C559,$D$4:$D$802)/SUM($D$4:$D$802))</x:f>
        <x:v>0.8580155198163798</x:v>
      </x:c>
    </x:row>
    <x:row r="560">
      <x:c r="A560" s="101" t="str">
        <x:v>岡山県</x:v>
      </x:c>
      <x:c r="B560" s="101" t="str">
        <x:v>N</x:v>
      </x:c>
      <x:c r="C560" s="101" t="str">
        <x:v>生活関連サービス業，娯楽業</x:v>
      </x:c>
      <x:c r="D560" s="102" t="n">
        <x:v>27847</x:v>
      </x:c>
      <x:c r="E560" s="102" t="n">
        <x:f>1+COUNTIFS($C$4:$C$802,C560,$D$4:$D$802,"&gt;"&amp;D560)</x:f>
        <x:v>22</x:v>
      </x:c>
      <x:c r="F560" s="102" t="n">
        <x:v>1888432</x:v>
      </x:c>
      <x:c r="G560" s="126" t="n">
        <x:f>D560/F560*10000</x:f>
        <x:v>147.46096232218054</x:v>
      </x:c>
      <x:c r="H560" s="127" t="n">
        <x:f>1+COUNTIFS($C$4:$C$802,C560,$G$4:$G$802,"&gt;"&amp;G560)</x:f>
        <x:v>45</x:v>
      </x:c>
      <x:c r="I560" s="128" t="n">
        <x:f>D560/SUMIF($C$4:$C$802,C560,$D$4:$D$802)</x:f>
        <x:v>0.012796517134245561</x:v>
      </x:c>
      <x:c r="J560" s="103" t="n">
        <x:f>(D560/SUMIF($A$4:$A$802,A560,$D$4:$D$802))/(SUMIF($C$4:$C$802,C560,$D$4:$D$802)/SUM($D$4:$D$802))</x:f>
        <x:v>0.8839952319496154</x:v>
      </x:c>
    </x:row>
    <x:row r="561">
      <x:c r="A561" s="101" t="str">
        <x:v>岡山県</x:v>
      </x:c>
      <x:c r="B561" s="101" t="str">
        <x:v>O</x:v>
      </x:c>
      <x:c r="C561" s="101" t="str">
        <x:v>教育，学習支援業</x:v>
      </x:c>
      <x:c r="D561" s="102" t="n">
        <x:v>24548</x:v>
      </x:c>
      <x:c r="E561" s="102" t="n">
        <x:f>1+COUNTIFS($C$4:$C$802,C561,$D$4:$D$802,"&gt;"&amp;D561)</x:f>
        <x:v>17</x:v>
      </x:c>
      <x:c r="F561" s="102" t="n">
        <x:v>1888432</x:v>
      </x:c>
      <x:c r="G561" s="126" t="n">
        <x:f>D561/F561*10000</x:f>
        <x:v>129.991442636007</x:v>
      </x:c>
      <x:c r="H561" s="127" t="n">
        <x:f>1+COUNTIFS($C$4:$C$802,C561,$G$4:$G$802,"&gt;"&amp;G561)</x:f>
        <x:v>24</x:v>
      </x:c>
      <x:c r="I561" s="128" t="n">
        <x:f>D561/SUMIF($C$4:$C$802,C561,$D$4:$D$802)</x:f>
        <x:v>0.012583981209124361</x:v>
      </x:c>
      <x:c r="J561" s="103" t="n">
        <x:f>(D561/SUMIF($A$4:$A$802,A561,$D$4:$D$802))/(SUMIF($C$4:$C$802,C561,$D$4:$D$802)/SUM($D$4:$D$802))</x:f>
        <x:v>0.8693130537870634</x:v>
      </x:c>
    </x:row>
    <x:row r="562">
      <x:c r="A562" s="101" t="str">
        <x:v>岡山県</x:v>
      </x:c>
      <x:c r="B562" s="101" t="str">
        <x:v>P</x:v>
      </x:c>
      <x:c r="C562" s="101" t="str">
        <x:v>医療，福祉</x:v>
      </x:c>
      <x:c r="D562" s="102" t="n">
        <x:v>134774</x:v>
      </x:c>
      <x:c r="E562" s="102" t="n">
        <x:f>1+COUNTIFS($C$4:$C$802,C562,$D$4:$D$802,"&gt;"&amp;D562)</x:f>
        <x:v>17</x:v>
      </x:c>
      <x:c r="F562" s="102" t="n">
        <x:v>1888432</x:v>
      </x:c>
      <x:c r="G562" s="126" t="n">
        <x:f>D562/F562*10000</x:f>
        <x:v>713.6820388555161</x:v>
      </x:c>
      <x:c r="H562" s="127" t="n">
        <x:f>1+COUNTIFS($C$4:$C$802,C562,$G$4:$G$802,"&gt;"&amp;G562)</x:f>
        <x:v>18</x:v>
      </x:c>
      <x:c r="I562" s="128" t="n">
        <x:f>D562/SUMIF($C$4:$C$802,C562,$D$4:$D$802)</x:f>
        <x:v>0.016511569271677268</x:v>
      </x:c>
      <x:c r="J562" s="103" t="n">
        <x:f>(D562/SUMIF($A$4:$A$802,A562,$D$4:$D$802))/(SUMIF($C$4:$C$802,C562,$D$4:$D$802)/SUM($D$4:$D$802))</x:f>
        <x:v>1.1406344675698377</x:v>
      </x:c>
    </x:row>
    <x:row r="563">
      <x:c r="A563" s="101" t="str">
        <x:v>岡山県</x:v>
      </x:c>
      <x:c r="B563" s="101" t="str">
        <x:v>Q</x:v>
      </x:c>
      <x:c r="C563" s="101" t="str">
        <x:v>複合サービス事業</x:v>
      </x:c>
      <x:c r="D563" s="102" t="n">
        <x:v>7213</x:v>
      </x:c>
      <x:c r="E563" s="102" t="n">
        <x:f>1+COUNTIFS($C$4:$C$802,C563,$D$4:$D$802,"&gt;"&amp;D563)</x:f>
        <x:v>22</x:v>
      </x:c>
      <x:c r="F563" s="102" t="n">
        <x:v>1888432</x:v>
      </x:c>
      <x:c r="G563" s="126" t="n">
        <x:f>D563/F563*10000</x:f>
        <x:v>38.195709456310844</x:v>
      </x:c>
      <x:c r="H563" s="127" t="n">
        <x:f>1+COUNTIFS($C$4:$C$802,C563,$G$4:$G$802,"&gt;"&amp;G563)</x:f>
        <x:v>30</x:v>
      </x:c>
      <x:c r="I563" s="128" t="n">
        <x:f>D563/SUMIF($C$4:$C$802,C563,$D$4:$D$802)</x:f>
        <x:v>0.016544716379567403</x:v>
      </x:c>
      <x:c r="J563" s="103" t="n">
        <x:f>(D563/SUMIF($A$4:$A$802,A563,$D$4:$D$802))/(SUMIF($C$4:$C$802,C563,$D$4:$D$802)/SUM($D$4:$D$802))</x:f>
        <x:v>1.1429243004220424</x:v>
      </x:c>
    </x:row>
    <x:row r="564">
      <x:c r="A564" s="101" t="str">
        <x:v>岡山県</x:v>
      </x:c>
      <x:c r="B564" s="101" t="str">
        <x:v>R</x:v>
      </x:c>
      <x:c r="C564" s="101" t="str">
        <x:v>サービス業（他に分類されないもの）</x:v>
      </x:c>
      <x:c r="D564" s="102" t="n">
        <x:v>67408</x:v>
      </x:c>
      <x:c r="E564" s="102" t="n">
        <x:f>1+COUNTIFS($C$4:$C$802,C564,$D$4:$D$802,"&gt;"&amp;D564)</x:f>
        <x:v>18</x:v>
      </x:c>
      <x:c r="F564" s="102" t="n">
        <x:v>1888432</x:v>
      </x:c>
      <x:c r="G564" s="126" t="n">
        <x:f>D564/F564*10000</x:f>
        <x:v>356.9522227964788</x:v>
      </x:c>
      <x:c r="H564" s="127" t="n">
        <x:f>1+COUNTIFS($C$4:$C$802,C564,$G$4:$G$802,"&gt;"&amp;G564)</x:f>
        <x:v>15</x:v>
      </x:c>
      <x:c r="I564" s="128" t="n">
        <x:f>D564/SUMIF($C$4:$C$802,C564,$D$4:$D$802)</x:f>
        <x:v>0.012878039759381179</x:v>
      </x:c>
      <x:c r="J564" s="103" t="n">
        <x:f>(D564/SUMIF($A$4:$A$802,A564,$D$4:$D$802))/(SUMIF($C$4:$C$802,C564,$D$4:$D$802)/SUM($D$4:$D$802))</x:f>
        <x:v>0.8896268902485006</x:v>
      </x:c>
    </x:row>
    <x:row r="565">
      <x:c r="A565" s="101" t="str">
        <x:v>広島県</x:v>
      </x:c>
      <x:c r="B565" s="101" t="str">
        <x:v>AB</x:v>
      </x:c>
      <x:c r="C565" s="101" t="str">
        <x:v>農林漁業</x:v>
      </x:c>
      <x:c r="D565" s="102" t="n">
        <x:v>12145</x:v>
      </x:c>
      <x:c r="E565" s="102" t="n">
        <x:f>1+COUNTIFS($C$4:$C$802,C565,$D$4:$D$802,"&gt;"&amp;D565)</x:f>
        <x:v>9</x:v>
      </x:c>
      <x:c r="F565" s="102" t="n">
        <x:v>2799702</x:v>
      </x:c>
      <x:c r="G565" s="126" t="n">
        <x:f>D565/F565*10000</x:f>
        <x:v>43.3796168306484</x:v>
      </x:c>
      <x:c r="H565" s="127" t="n">
        <x:f>1+COUNTIFS($C$4:$C$802,C565,$G$4:$G$802,"&gt;"&amp;G565)</x:f>
        <x:v>33</x:v>
      </x:c>
      <x:c r="I565" s="128" t="n">
        <x:f>D565/SUMIF($C$4:$C$802,C565,$D$4:$D$802)</x:f>
        <x:v>0.026768612947236408</x:v>
      </x:c>
      <x:c r="J565" s="103" t="n">
        <x:f>(D565/SUMIF($A$4:$A$802,A565,$D$4:$D$802))/(SUMIF($C$4:$C$802,C565,$D$4:$D$802)/SUM($D$4:$D$802))</x:f>
        <x:v>1.1899434537567959</x:v>
      </x:c>
    </x:row>
    <x:row r="566">
      <x:c r="A566" s="101" t="str">
        <x:v>広島県</x:v>
      </x:c>
      <x:c r="B566" s="101" t="str">
        <x:v>C</x:v>
      </x:c>
      <x:c r="C566" s="101" t="str">
        <x:v>鉱業，採石業，砂利採取業</x:v>
      </x:c>
      <x:c r="D566" s="102" t="n">
        <x:v>157</x:v>
      </x:c>
      <x:c r="E566" s="102" t="n">
        <x:f>1+COUNTIFS($C$4:$C$802,C566,$D$4:$D$802,"&gt;"&amp;D566)</x:f>
        <x:v>38</x:v>
      </x:c>
      <x:c r="F566" s="102" t="n">
        <x:v>2799702</x:v>
      </x:c>
      <x:c r="G566" s="126" t="n">
        <x:f>D566/F566*10000</x:f>
        <x:v>0.5607739680866035</x:v>
      </x:c>
      <x:c r="H566" s="127" t="n">
        <x:f>1+COUNTIFS($C$4:$C$802,C566,$G$4:$G$802,"&gt;"&amp;G566)</x:f>
        <x:v>44</x:v>
      </x:c>
      <x:c r="I566" s="128" t="n">
        <x:f>D566/SUMIF($C$4:$C$802,C566,$D$4:$D$802)</x:f>
        <x:v>0.007970756968066203</x:v>
      </x:c>
      <x:c r="J566" s="103" t="n">
        <x:f>(D566/SUMIF($A$4:$A$802,A566,$D$4:$D$802))/(SUMIF($C$4:$C$802,C566,$D$4:$D$802)/SUM($D$4:$D$802))</x:f>
        <x:v>0.35432355401948273</x:v>
      </x:c>
    </x:row>
    <x:row r="567">
      <x:c r="A567" s="101" t="str">
        <x:v>広島県</x:v>
      </x:c>
      <x:c r="B567" s="101" t="str">
        <x:v>D</x:v>
      </x:c>
      <x:c r="C567" s="101" t="str">
        <x:v>建設業</x:v>
      </x:c>
      <x:c r="D567" s="102" t="n">
        <x:v>87579</x:v>
      </x:c>
      <x:c r="E567" s="102" t="n">
        <x:f>1+COUNTIFS($C$4:$C$802,C567,$D$4:$D$802,"&gt;"&amp;D567)</x:f>
        <x:v>13</x:v>
      </x:c>
      <x:c r="F567" s="102" t="n">
        <x:v>2799702</x:v>
      </x:c>
      <x:c r="G567" s="126" t="n">
        <x:f>D567/F567*10000</x:f>
        <x:v>312.8154353570487</x:v>
      </x:c>
      <x:c r="H567" s="127" t="n">
        <x:f>1+COUNTIFS($C$4:$C$802,C567,$G$4:$G$802,"&gt;"&amp;G567)</x:f>
        <x:v>24</x:v>
      </x:c>
      <x:c r="I567" s="128" t="n">
        <x:f>D567/SUMIF($C$4:$C$802,C567,$D$4:$D$802)</x:f>
        <x:v>0.02343304128655769</x:v>
      </x:c>
      <x:c r="J567" s="103" t="n">
        <x:f>(D567/SUMIF($A$4:$A$802,A567,$D$4:$D$802))/(SUMIF($C$4:$C$802,C567,$D$4:$D$802)/SUM($D$4:$D$802))</x:f>
        <x:v>1.0416674982567893</x:v>
      </x:c>
    </x:row>
    <x:row r="568">
      <x:c r="A568" s="101" t="str">
        <x:v>広島県</x:v>
      </x:c>
      <x:c r="B568" s="101" t="str">
        <x:v>E</x:v>
      </x:c>
      <x:c r="C568" s="101" t="str">
        <x:v>製造業</x:v>
      </x:c>
      <x:c r="D568" s="102" t="n">
        <x:v>230685</x:v>
      </x:c>
      <x:c r="E568" s="102" t="n">
        <x:f>1+COUNTIFS($C$4:$C$802,C568,$D$4:$D$802,"&gt;"&amp;D568)</x:f>
        <x:v>11</x:v>
      </x:c>
      <x:c r="F568" s="102" t="n">
        <x:v>2799702</x:v>
      </x:c>
      <x:c r="G568" s="126" t="n">
        <x:f>D568/F568*10000</x:f>
        <x:v>823.9626931723449</x:v>
      </x:c>
      <x:c r="H568" s="127" t="n">
        <x:f>1+COUNTIFS($C$4:$C$802,C568,$G$4:$G$802,"&gt;"&amp;G568)</x:f>
        <x:v>18</x:v>
      </x:c>
      <x:c r="I568" s="128" t="n">
        <x:f>D568/SUMIF($C$4:$C$802,C568,$D$4:$D$802)</x:f>
        <x:v>0.026203356951207585</x:v>
      </x:c>
      <x:c r="J568" s="103" t="n">
        <x:f>(D568/SUMIF($A$4:$A$802,A568,$D$4:$D$802))/(SUMIF($C$4:$C$802,C568,$D$4:$D$802)/SUM($D$4:$D$802))</x:f>
        <x:v>1.1648161648121993</x:v>
      </x:c>
    </x:row>
    <x:row r="569">
      <x:c r="A569" s="101" t="str">
        <x:v>広島県</x:v>
      </x:c>
      <x:c r="B569" s="101" t="str">
        <x:v>F</x:v>
      </x:c>
      <x:c r="C569" s="101" t="str">
        <x:v>電気・ガス・熱供給・水道業</x:v>
      </x:c>
      <x:c r="D569" s="102" t="n">
        <x:v>6559</x:v>
      </x:c>
      <x:c r="E569" s="102" t="n">
        <x:f>1+COUNTIFS($C$4:$C$802,C569,$D$4:$D$802,"&gt;"&amp;D569)</x:f>
        <x:v>6</x:v>
      </x:c>
      <x:c r="F569" s="102" t="n">
        <x:v>2799702</x:v>
      </x:c>
      <x:c r="G569" s="126" t="n">
        <x:f>D569/F569*10000</x:f>
        <x:v>23.427493354649886</x:v>
      </x:c>
      <x:c r="H569" s="127" t="n">
        <x:f>1+COUNTIFS($C$4:$C$802,C569,$G$4:$G$802,"&gt;"&amp;G569)</x:f>
        <x:v>6</x:v>
      </x:c>
      <x:c r="I569" s="128" t="n">
        <x:f>D569/SUMIF($C$4:$C$802,C569,$D$4:$D$802)</x:f>
        <x:v>0.03244636382074608</x:v>
      </x:c>
      <x:c r="J569" s="103" t="n">
        <x:f>(D569/SUMIF($A$4:$A$802,A569,$D$4:$D$802))/(SUMIF($C$4:$C$802,C569,$D$4:$D$802)/SUM($D$4:$D$802))</x:f>
        <x:v>1.44233615327066</x:v>
      </x:c>
    </x:row>
    <x:row r="570">
      <x:c r="A570" s="101" t="str">
        <x:v>広島県</x:v>
      </x:c>
      <x:c r="B570" s="101" t="str">
        <x:v>G</x:v>
      </x:c>
      <x:c r="C570" s="101" t="str">
        <x:v>情報通信業</x:v>
      </x:c>
      <x:c r="D570" s="102" t="n">
        <x:v>23310</x:v>
      </x:c>
      <x:c r="E570" s="102" t="n">
        <x:f>1+COUNTIFS($C$4:$C$802,C570,$D$4:$D$802,"&gt;"&amp;D570)</x:f>
        <x:v>10</x:v>
      </x:c>
      <x:c r="F570" s="102" t="n">
        <x:v>2799702</x:v>
      </x:c>
      <x:c r="G570" s="126" t="n">
        <x:f>D570/F570*10000</x:f>
        <x:v>83.25886112164794</x:v>
      </x:c>
      <x:c r="H570" s="127" t="n">
        <x:f>1+COUNTIFS($C$4:$C$802,C570,$G$4:$G$802,"&gt;"&amp;G570)</x:f>
        <x:v>10</x:v>
      </x:c>
      <x:c r="I570" s="128" t="n">
        <x:f>D570/SUMIF($C$4:$C$802,C570,$D$4:$D$802)</x:f>
        <x:v>0.011732203766888006</x:v>
      </x:c>
      <x:c r="J570" s="103" t="n">
        <x:f>(D570/SUMIF($A$4:$A$802,A570,$D$4:$D$802))/(SUMIF($C$4:$C$802,C570,$D$4:$D$802)/SUM($D$4:$D$802))</x:f>
        <x:v>0.5215309100276152</x:v>
      </x:c>
    </x:row>
    <x:row r="571">
      <x:c r="A571" s="101" t="str">
        <x:v>広島県</x:v>
      </x:c>
      <x:c r="B571" s="101" t="str">
        <x:v>H</x:v>
      </x:c>
      <x:c r="C571" s="101" t="str">
        <x:v>運輸業，郵便業</x:v>
      </x:c>
      <x:c r="D571" s="102" t="n">
        <x:v>75731</x:v>
      </x:c>
      <x:c r="E571" s="102" t="n">
        <x:f>1+COUNTIFS($C$4:$C$802,C571,$D$4:$D$802,"&gt;"&amp;D571)</x:f>
        <x:v>12</x:v>
      </x:c>
      <x:c r="F571" s="102" t="n">
        <x:v>2799702</x:v>
      </x:c>
      <x:c r="G571" s="126" t="n">
        <x:f>D571/F571*10000</x:f>
        <x:v>270.49664571443674</x:v>
      </x:c>
      <x:c r="H571" s="127" t="n">
        <x:f>1+COUNTIFS($C$4:$C$802,C571,$G$4:$G$802,"&gt;"&amp;G571)</x:f>
        <x:v>9</x:v>
      </x:c>
      <x:c r="I571" s="128" t="n">
        <x:f>D571/SUMIF($C$4:$C$802,C571,$D$4:$D$802)</x:f>
        <x:v>0.023196683098837455</x:v>
      </x:c>
      <x:c r="J571" s="103" t="n">
        <x:f>(D571/SUMIF($A$4:$A$802,A571,$D$4:$D$802))/(SUMIF($C$4:$C$802,C571,$D$4:$D$802)/SUM($D$4:$D$802))</x:f>
        <x:v>1.031160682727203</x:v>
      </x:c>
    </x:row>
    <x:row r="572">
      <x:c r="A572" s="101" t="str">
        <x:v>広島県</x:v>
      </x:c>
      <x:c r="B572" s="101" t="str">
        <x:v>I</x:v>
      </x:c>
      <x:c r="C572" s="101" t="str">
        <x:v>卸売業，小売業</x:v>
      </x:c>
      <x:c r="D572" s="102" t="n">
        <x:v>269673</x:v>
      </x:c>
      <x:c r="E572" s="102" t="n">
        <x:f>1+COUNTIFS($C$4:$C$802,C572,$D$4:$D$802,"&gt;"&amp;D572)</x:f>
        <x:v>11</x:v>
      </x:c>
      <x:c r="F572" s="102" t="n">
        <x:v>2799702</x:v>
      </x:c>
      <x:c r="G572" s="126" t="n">
        <x:f>D572/F572*10000</x:f>
        <x:v>963.2203713109466</x:v>
      </x:c>
      <x:c r="H572" s="127" t="n">
        <x:f>1+COUNTIFS($C$4:$C$802,C572,$G$4:$G$802,"&gt;"&amp;G572)</x:f>
        <x:v>6</x:v>
      </x:c>
      <x:c r="I572" s="128" t="n">
        <x:f>D572/SUMIF($C$4:$C$802,C572,$D$4:$D$802)</x:f>
        <x:v>0.02322379994908682</x:v>
      </x:c>
      <x:c r="J572" s="103" t="n">
        <x:f>(D572/SUMIF($A$4:$A$802,A572,$D$4:$D$802))/(SUMIF($C$4:$C$802,C572,$D$4:$D$802)/SUM($D$4:$D$802))</x:f>
        <x:v>1.032366106351667</x:v>
      </x:c>
    </x:row>
    <x:row r="573">
      <x:c r="A573" s="101" t="str">
        <x:v>広島県</x:v>
      </x:c>
      <x:c r="B573" s="101" t="str">
        <x:v>J</x:v>
      </x:c>
      <x:c r="C573" s="101" t="str">
        <x:v>金融業，保険業</x:v>
      </x:c>
      <x:c r="D573" s="102" t="n">
        <x:v>28711</x:v>
      </x:c>
      <x:c r="E573" s="102" t="n">
        <x:f>1+COUNTIFS($C$4:$C$802,C573,$D$4:$D$802,"&gt;"&amp;D573)</x:f>
        <x:v>11</x:v>
      </x:c>
      <x:c r="F573" s="102" t="n">
        <x:v>2799702</x:v>
      </x:c>
      <x:c r="G573" s="126" t="n">
        <x:f>D573/F573*10000</x:f>
        <x:v>102.55019998556989</x:v>
      </x:c>
      <x:c r="H573" s="127" t="n">
        <x:f>1+COUNTIFS($C$4:$C$802,C573,$G$4:$G$802,"&gt;"&amp;G573)</x:f>
        <x:v>20</x:v>
      </x:c>
      <x:c r="I573" s="128" t="n">
        <x:f>D573/SUMIF($C$4:$C$802,C573,$D$4:$D$802)</x:f>
        <x:v>0.019211930119456436</x:v>
      </x:c>
      <x:c r="J573" s="103" t="n">
        <x:f>(D573/SUMIF($A$4:$A$802,A573,$D$4:$D$802))/(SUMIF($C$4:$C$802,C573,$D$4:$D$802)/SUM($D$4:$D$802))</x:f>
        <x:v>0.854026711236093</x:v>
      </x:c>
    </x:row>
    <x:row r="574">
      <x:c r="A574" s="101" t="str">
        <x:v>広島県</x:v>
      </x:c>
      <x:c r="B574" s="101" t="str">
        <x:v>K</x:v>
      </x:c>
      <x:c r="C574" s="101" t="str">
        <x:v>不動産業，物品賃貸業</x:v>
      </x:c>
      <x:c r="D574" s="102" t="n">
        <x:v>35182</x:v>
      </x:c>
      <x:c r="E574" s="102" t="n">
        <x:f>1+COUNTIFS($C$4:$C$802,C574,$D$4:$D$802,"&gt;"&amp;D574)</x:f>
        <x:v>11</x:v>
      </x:c>
      <x:c r="F574" s="102" t="n">
        <x:v>2799702</x:v>
      </x:c>
      <x:c r="G574" s="126" t="n">
        <x:f>D574/F574*10000</x:f>
        <x:v>125.66337417339417</x:v>
      </x:c>
      <x:c r="H574" s="127" t="n">
        <x:f>1+COUNTIFS($C$4:$C$802,C574,$G$4:$G$802,"&gt;"&amp;G574)</x:f>
        <x:v>6</x:v>
      </x:c>
      <x:c r="I574" s="128" t="n">
        <x:f>D574/SUMIF($C$4:$C$802,C574,$D$4:$D$802)</x:f>
        <x:v>0.02174227414472684</x:v>
      </x:c>
      <x:c r="J574" s="103" t="n">
        <x:f>(D574/SUMIF($A$4:$A$802,A574,$D$4:$D$802))/(SUMIF($C$4:$C$802,C574,$D$4:$D$802)/SUM($D$4:$D$802))</x:f>
        <x:v>0.966507933724462</x:v>
      </x:c>
    </x:row>
    <x:row r="575">
      <x:c r="A575" s="101" t="str">
        <x:v>広島県</x:v>
      </x:c>
      <x:c r="B575" s="101" t="str">
        <x:v>L</x:v>
      </x:c>
      <x:c r="C575" s="101" t="str">
        <x:v>学術研究，専門・技術サービス業</x:v>
      </x:c>
      <x:c r="D575" s="102" t="n">
        <x:v>40907</x:v>
      </x:c>
      <x:c r="E575" s="102" t="n">
        <x:f>1+COUNTIFS($C$4:$C$802,C575,$D$4:$D$802,"&gt;"&amp;D575)</x:f>
        <x:v>12</x:v>
      </x:c>
      <x:c r="F575" s="102" t="n">
        <x:v>2799702</x:v>
      </x:c>
      <x:c r="G575" s="126" t="n">
        <x:f>D575/F575*10000</x:f>
        <x:v>146.11197906062858</x:v>
      </x:c>
      <x:c r="H575" s="127" t="n">
        <x:f>1+COUNTIFS($C$4:$C$802,C575,$G$4:$G$802,"&gt;"&amp;G575)</x:f>
        <x:v>8</x:v>
      </x:c>
      <x:c r="I575" s="128" t="n">
        <x:f>D575/SUMIF($C$4:$C$802,C575,$D$4:$D$802)</x:f>
        <x:v>0.019305589640005286</x:v>
      </x:c>
      <x:c r="J575" s="103" t="n">
        <x:f>(D575/SUMIF($A$4:$A$802,A575,$D$4:$D$802))/(SUMIF($C$4:$C$802,C575,$D$4:$D$802)/SUM($D$4:$D$802))</x:f>
        <x:v>0.8581901519634396</x:v>
      </x:c>
    </x:row>
    <x:row r="576">
      <x:c r="A576" s="101" t="str">
        <x:v>広島県</x:v>
      </x:c>
      <x:c r="B576" s="101" t="str">
        <x:v>M</x:v>
      </x:c>
      <x:c r="C576" s="101" t="str">
        <x:v>宿泊業，飲食サービス業</x:v>
      </x:c>
      <x:c r="D576" s="102" t="n">
        <x:v>92954</x:v>
      </x:c>
      <x:c r="E576" s="102" t="n">
        <x:f>1+COUNTIFS($C$4:$C$802,C576,$D$4:$D$802,"&gt;"&amp;D576)</x:f>
        <x:v>12</x:v>
      </x:c>
      <x:c r="F576" s="102" t="n">
        <x:v>2799702</x:v>
      </x:c>
      <x:c r="G576" s="126" t="n">
        <x:f>D576/F576*10000</x:f>
        <x:v>332.0139071944085</x:v>
      </x:c>
      <x:c r="H576" s="127" t="n">
        <x:f>1+COUNTIFS($C$4:$C$802,C576,$G$4:$G$802,"&gt;"&amp;G576)</x:f>
        <x:v>31</x:v>
      </x:c>
      <x:c r="I576" s="128" t="n">
        <x:f>D576/SUMIF($C$4:$C$802,C576,$D$4:$D$802)</x:f>
        <x:v>0.01986731895068308</x:v>
      </x:c>
      <x:c r="J576" s="103" t="n">
        <x:f>(D576/SUMIF($A$4:$A$802,A576,$D$4:$D$802))/(SUMIF($C$4:$C$802,C576,$D$4:$D$802)/SUM($D$4:$D$802))</x:f>
        <x:v>0.8831606693877788</x:v>
      </x:c>
    </x:row>
    <x:row r="577">
      <x:c r="A577" s="101" t="str">
        <x:v>広島県</x:v>
      </x:c>
      <x:c r="B577" s="101" t="str">
        <x:v>N</x:v>
      </x:c>
      <x:c r="C577" s="101" t="str">
        <x:v>生活関連サービス業，娯楽業</x:v>
      </x:c>
      <x:c r="D577" s="102" t="n">
        <x:v>46624</x:v>
      </x:c>
      <x:c r="E577" s="102" t="n">
        <x:f>1+COUNTIFS($C$4:$C$802,C577,$D$4:$D$802,"&gt;"&amp;D577)</x:f>
        <x:v>12</x:v>
      </x:c>
      <x:c r="F577" s="102" t="n">
        <x:v>2799702</x:v>
      </x:c>
      <x:c r="G577" s="126" t="n">
        <x:f>D577/F577*10000</x:f>
        <x:v>166.5320094781516</x:v>
      </x:c>
      <x:c r="H577" s="127" t="n">
        <x:f>1+COUNTIFS($C$4:$C$802,C577,$G$4:$G$802,"&gt;"&amp;G577)</x:f>
        <x:v>25</x:v>
      </x:c>
      <x:c r="I577" s="128" t="n">
        <x:f>D577/SUMIF($C$4:$C$802,C577,$D$4:$D$802)</x:f>
        <x:v>0.021425101981077495</x:v>
      </x:c>
      <x:c r="J577" s="103" t="n">
        <x:f>(D577/SUMIF($A$4:$A$802,A577,$D$4:$D$802))/(SUMIF($C$4:$C$802,C577,$D$4:$D$802)/SUM($D$4:$D$802))</x:f>
        <x:v>0.9524086996478835</x:v>
      </x:c>
    </x:row>
    <x:row r="578">
      <x:c r="A578" s="101" t="str">
        <x:v>広島県</x:v>
      </x:c>
      <x:c r="B578" s="101" t="str">
        <x:v>O</x:v>
      </x:c>
      <x:c r="C578" s="101" t="str">
        <x:v>教育，学習支援業</x:v>
      </x:c>
      <x:c r="D578" s="102" t="n">
        <x:v>41468</x:v>
      </x:c>
      <x:c r="E578" s="102" t="n">
        <x:f>1+COUNTIFS($C$4:$C$802,C578,$D$4:$D$802,"&gt;"&amp;D578)</x:f>
        <x:v>12</x:v>
      </x:c>
      <x:c r="F578" s="102" t="n">
        <x:v>2799702</x:v>
      </x:c>
      <x:c r="G578" s="126" t="n">
        <x:f>D578/F578*10000</x:f>
        <x:v>148.11576374914188</x:v>
      </x:c>
      <x:c r="H578" s="127" t="n">
        <x:f>1+COUNTIFS($C$4:$C$802,C578,$G$4:$G$802,"&gt;"&amp;G578)</x:f>
        <x:v>15</x:v>
      </x:c>
      <x:c r="I578" s="128" t="n">
        <x:f>D578/SUMIF($C$4:$C$802,C578,$D$4:$D$802)</x:f>
        <x:v>0.0212576394321317</x:v>
      </x:c>
      <x:c r="J578" s="103" t="n">
        <x:f>(D578/SUMIF($A$4:$A$802,A578,$D$4:$D$802))/(SUMIF($C$4:$C$802,C578,$D$4:$D$802)/SUM($D$4:$D$802))</x:f>
        <x:v>0.9449644975795782</x:v>
      </x:c>
    </x:row>
    <x:row r="579">
      <x:c r="A579" s="101" t="str">
        <x:v>広島県</x:v>
      </x:c>
      <x:c r="B579" s="101" t="str">
        <x:v>P</x:v>
      </x:c>
      <x:c r="C579" s="101" t="str">
        <x:v>医療，福祉</x:v>
      </x:c>
      <x:c r="D579" s="102" t="n">
        <x:v>192952</x:v>
      </x:c>
      <x:c r="E579" s="102" t="n">
        <x:f>1+COUNTIFS($C$4:$C$802,C579,$D$4:$D$802,"&gt;"&amp;D579)</x:f>
        <x:v>11</x:v>
      </x:c>
      <x:c r="F579" s="102" t="n">
        <x:v>2799702</x:v>
      </x:c>
      <x:c r="G579" s="126" t="n">
        <x:f>D579/F579*10000</x:f>
        <x:v>689.1876349697218</x:v>
      </x:c>
      <x:c r="H579" s="127" t="n">
        <x:f>1+COUNTIFS($C$4:$C$802,C579,$G$4:$G$802,"&gt;"&amp;G579)</x:f>
        <x:v>19</x:v>
      </x:c>
      <x:c r="I579" s="128" t="n">
        <x:f>D579/SUMIF($C$4:$C$802,C579,$D$4:$D$802)</x:f>
        <x:v>0.023639131539530418</x:v>
      </x:c>
      <x:c r="J579" s="103" t="n">
        <x:f>(D579/SUMIF($A$4:$A$802,A579,$D$4:$D$802))/(SUMIF($C$4:$C$802,C579,$D$4:$D$802)/SUM($D$4:$D$802))</x:f>
        <x:v>1.0508288152025484</x:v>
      </x:c>
    </x:row>
    <x:row r="580">
      <x:c r="A580" s="101" t="str">
        <x:v>広島県</x:v>
      </x:c>
      <x:c r="B580" s="101" t="str">
        <x:v>Q</x:v>
      </x:c>
      <x:c r="C580" s="101" t="str">
        <x:v>複合サービス事業</x:v>
      </x:c>
      <x:c r="D580" s="102" t="n">
        <x:v>11937</x:v>
      </x:c>
      <x:c r="E580" s="102" t="n">
        <x:f>1+COUNTIFS($C$4:$C$802,C580,$D$4:$D$802,"&gt;"&amp;D580)</x:f>
        <x:v>11</x:v>
      </x:c>
      <x:c r="F580" s="102" t="n">
        <x:v>2799702</x:v>
      </x:c>
      <x:c r="G580" s="126" t="n">
        <x:f>D580/F580*10000</x:f>
        <x:v>42.6366806181515</x:v>
      </x:c>
      <x:c r="H580" s="127" t="n">
        <x:f>1+COUNTIFS($C$4:$C$802,C580,$G$4:$G$802,"&gt;"&amp;G580)</x:f>
        <x:v>27</x:v>
      </x:c>
      <x:c r="I580" s="128" t="n">
        <x:f>D580/SUMIF($C$4:$C$802,C580,$D$4:$D$802)</x:f>
        <x:v>0.027380324334243183</x:v>
      </x:c>
      <x:c r="J580" s="103" t="n">
        <x:f>(D580/SUMIF($A$4:$A$802,A580,$D$4:$D$802))/(SUMIF($C$4:$C$802,C580,$D$4:$D$802)/SUM($D$4:$D$802))</x:f>
        <x:v>1.217135821250471</x:v>
      </x:c>
    </x:row>
    <x:row r="581">
      <x:c r="A581" s="101" t="str">
        <x:v>広島県</x:v>
      </x:c>
      <x:c r="B581" s="101" t="str">
        <x:v>R</x:v>
      </x:c>
      <x:c r="C581" s="101" t="str">
        <x:v>サービス業（他に分類されないもの）</x:v>
      </x:c>
      <x:c r="D581" s="102" t="n">
        <x:v>107050</x:v>
      </x:c>
      <x:c r="E581" s="102" t="n">
        <x:f>1+COUNTIFS($C$4:$C$802,C581,$D$4:$D$802,"&gt;"&amp;D581)</x:f>
        <x:v>11</x:v>
      </x:c>
      <x:c r="F581" s="102" t="n">
        <x:v>2799702</x:v>
      </x:c>
      <x:c r="G581" s="126" t="n">
        <x:f>D581/F581*10000</x:f>
        <x:v>382.36212282592936</x:v>
      </x:c>
      <x:c r="H581" s="127" t="n">
        <x:f>1+COUNTIFS($C$4:$C$802,C581,$G$4:$G$802,"&gt;"&amp;G581)</x:f>
        <x:v>9</x:v>
      </x:c>
      <x:c r="I581" s="128" t="n">
        <x:f>D581/SUMIF($C$4:$C$802,C581,$D$4:$D$802)</x:f>
        <x:v>0.02045149175530731</x:v>
      </x:c>
      <x:c r="J581" s="103" t="n">
        <x:f>(D581/SUMIF($A$4:$A$802,A581,$D$4:$D$802))/(SUMIF($C$4:$C$802,C581,$D$4:$D$802)/SUM($D$4:$D$802))</x:f>
        <x:v>0.9091288660252184</x:v>
      </x:c>
    </x:row>
    <x:row r="582">
      <x:c r="A582" s="101" t="str">
        <x:v>山口県</x:v>
      </x:c>
      <x:c r="B582" s="101" t="str">
        <x:v>AB</x:v>
      </x:c>
      <x:c r="C582" s="101" t="str">
        <x:v>農林漁業</x:v>
      </x:c>
      <x:c r="D582" s="102" t="n">
        <x:v>6985</x:v>
      </x:c>
      <x:c r="E582" s="102" t="n">
        <x:f>1+COUNTIFS($C$4:$C$802,C582,$D$4:$D$802,"&gt;"&amp;D582)</x:f>
        <x:v>33</x:v>
      </x:c>
      <x:c r="F582" s="102" t="n">
        <x:v>1342059</x:v>
      </x:c>
      <x:c r="G582" s="126" t="n">
        <x:f>D582/F582*10000</x:f>
        <x:v>52.0468921262031</x:v>
      </x:c>
      <x:c r="H582" s="127" t="n">
        <x:f>1+COUNTIFS($C$4:$C$802,C582,$G$4:$G$802,"&gt;"&amp;G582)</x:f>
        <x:v>24</x:v>
      </x:c>
      <x:c r="I582" s="128" t="n">
        <x:f>D582/SUMIF($C$4:$C$802,C582,$D$4:$D$802)</x:f>
        <x:v>0.01539553408286919</x:v>
      </x:c>
      <x:c r="J582" s="103" t="n">
        <x:f>(D582/SUMIF($A$4:$A$802,A582,$D$4:$D$802))/(SUMIF($C$4:$C$802,C582,$D$4:$D$802)/SUM($D$4:$D$802))</x:f>
        <x:v>1.5536019313269318</x:v>
      </x:c>
    </x:row>
    <x:row r="583">
      <x:c r="A583" s="101" t="str">
        <x:v>山口県</x:v>
      </x:c>
      <x:c r="B583" s="101" t="str">
        <x:v>C</x:v>
      </x:c>
      <x:c r="C583" s="101" t="str">
        <x:v>鉱業，採石業，砂利採取業</x:v>
      </x:c>
      <x:c r="D583" s="102" t="n">
        <x:v>419</x:v>
      </x:c>
      <x:c r="E583" s="102" t="n">
        <x:f>1+COUNTIFS($C$4:$C$802,C583,$D$4:$D$802,"&gt;"&amp;D583)</x:f>
        <x:v>20</x:v>
      </x:c>
      <x:c r="F583" s="102" t="n">
        <x:v>1342059</x:v>
      </x:c>
      <x:c r="G583" s="126" t="n">
        <x:f>D583/F583*10000</x:f>
        <x:v>3.122068403848117</x:v>
      </x:c>
      <x:c r="H583" s="127" t="n">
        <x:f>1+COUNTIFS($C$4:$C$802,C583,$G$4:$G$802,"&gt;"&amp;G583)</x:f>
        <x:v>12</x:v>
      </x:c>
      <x:c r="I583" s="128" t="n">
        <x:f>D583/SUMIF($C$4:$C$802,C583,$D$4:$D$802)</x:f>
        <x:v>0.021272274965730822</x:v>
      </x:c>
      <x:c r="J583" s="103" t="n">
        <x:f>(D583/SUMIF($A$4:$A$802,A583,$D$4:$D$802))/(SUMIF($C$4:$C$802,C583,$D$4:$D$802)/SUM($D$4:$D$802))</x:f>
        <x:v>2.1466385831492913</x:v>
      </x:c>
    </x:row>
    <x:row r="584">
      <x:c r="A584" s="101" t="str">
        <x:v>山口県</x:v>
      </x:c>
      <x:c r="B584" s="101" t="str">
        <x:v>D</x:v>
      </x:c>
      <x:c r="C584" s="101" t="str">
        <x:v>建設業</x:v>
      </x:c>
      <x:c r="D584" s="102" t="n">
        <x:v>44055</x:v>
      </x:c>
      <x:c r="E584" s="102" t="n">
        <x:f>1+COUNTIFS($C$4:$C$802,C584,$D$4:$D$802,"&gt;"&amp;D584)</x:f>
        <x:v>28</x:v>
      </x:c>
      <x:c r="F584" s="102" t="n">
        <x:v>1342059</x:v>
      </x:c>
      <x:c r="G584" s="126" t="n">
        <x:f>D584/F584*10000</x:f>
        <x:v>328.2642566384936</x:v>
      </x:c>
      <x:c r="H584" s="127" t="n">
        <x:f>1+COUNTIFS($C$4:$C$802,C584,$G$4:$G$802,"&gt;"&amp;G584)</x:f>
        <x:v>17</x:v>
      </x:c>
      <x:c r="I584" s="128" t="n">
        <x:f>D584/SUMIF($C$4:$C$802,C584,$D$4:$D$802)</x:f>
        <x:v>0.011787559048165645</x:v>
      </x:c>
      <x:c r="J584" s="103" t="n">
        <x:f>(D584/SUMIF($A$4:$A$802,A584,$D$4:$D$802))/(SUMIF($C$4:$C$802,C584,$D$4:$D$802)/SUM($D$4:$D$802))</x:f>
        <x:v>1.189512127626524</x:v>
      </x:c>
    </x:row>
    <x:row r="585">
      <x:c r="A585" s="101" t="str">
        <x:v>山口県</x:v>
      </x:c>
      <x:c r="B585" s="101" t="str">
        <x:v>E</x:v>
      </x:c>
      <x:c r="C585" s="101" t="str">
        <x:v>製造業</x:v>
      </x:c>
      <x:c r="D585" s="102" t="n">
        <x:v>100988</x:v>
      </x:c>
      <x:c r="E585" s="102" t="n">
        <x:f>1+COUNTIFS($C$4:$C$802,C585,$D$4:$D$802,"&gt;"&amp;D585)</x:f>
        <x:v>27</x:v>
      </x:c>
      <x:c r="F585" s="102" t="n">
        <x:v>1342059</x:v>
      </x:c>
      <x:c r="G585" s="126" t="n">
        <x:f>D585/F585*10000</x:f>
        <x:v>752.4855464625624</x:v>
      </x:c>
      <x:c r="H585" s="127" t="n">
        <x:f>1+COUNTIFS($C$4:$C$802,C585,$G$4:$G$802,"&gt;"&amp;G585)</x:f>
        <x:v>21</x:v>
      </x:c>
      <x:c r="I585" s="128" t="n">
        <x:f>D585/SUMIF($C$4:$C$802,C585,$D$4:$D$802)</x:f>
        <x:v>0.011471160291256699</x:v>
      </x:c>
      <x:c r="J585" s="103" t="n">
        <x:f>(D585/SUMIF($A$4:$A$802,A585,$D$4:$D$802))/(SUMIF($C$4:$C$802,C585,$D$4:$D$802)/SUM($D$4:$D$802))</x:f>
        <x:v>1.1575835360520268</x:v>
      </x:c>
    </x:row>
    <x:row r="586">
      <x:c r="A586" s="101" t="str">
        <x:v>山口県</x:v>
      </x:c>
      <x:c r="B586" s="101" t="str">
        <x:v>F</x:v>
      </x:c>
      <x:c r="C586" s="101" t="str">
        <x:v>電気・ガス・熱供給・水道業</x:v>
      </x:c>
      <x:c r="D586" s="102" t="n">
        <x:v>1517</x:v>
      </x:c>
      <x:c r="E586" s="102" t="n">
        <x:f>1+COUNTIFS($C$4:$C$802,C586,$D$4:$D$802,"&gt;"&amp;D586)</x:f>
        <x:v>38</x:v>
      </x:c>
      <x:c r="F586" s="102" t="n">
        <x:v>1342059</x:v>
      </x:c>
      <x:c r="G586" s="126" t="n">
        <x:f>D586/F586*10000</x:f>
        <x:v>11.303526894123136</x:v>
      </x:c>
      <x:c r="H586" s="127" t="n">
        <x:f>1+COUNTIFS($C$4:$C$802,C586,$G$4:$G$802,"&gt;"&amp;G586)</x:f>
        <x:v>38</x:v>
      </x:c>
      <x:c r="I586" s="128" t="n">
        <x:f>D586/SUMIF($C$4:$C$802,C586,$D$4:$D$802)</x:f>
        <x:v>0.007504365591717001</x:v>
      </x:c>
      <x:c r="J586" s="103" t="n">
        <x:f>(D586/SUMIF($A$4:$A$802,A586,$D$4:$D$802))/(SUMIF($C$4:$C$802,C586,$D$4:$D$802)/SUM($D$4:$D$802))</x:f>
        <x:v>0.7572843406353665</x:v>
      </x:c>
    </x:row>
    <x:row r="587">
      <x:c r="A587" s="101" t="str">
        <x:v>山口県</x:v>
      </x:c>
      <x:c r="B587" s="101" t="str">
        <x:v>G</x:v>
      </x:c>
      <x:c r="C587" s="101" t="str">
        <x:v>情報通信業</x:v>
      </x:c>
      <x:c r="D587" s="102" t="n">
        <x:v>4962</x:v>
      </x:c>
      <x:c r="E587" s="102" t="n">
        <x:f>1+COUNTIFS($C$4:$C$802,C587,$D$4:$D$802,"&gt;"&amp;D587)</x:f>
        <x:v>36</x:v>
      </x:c>
      <x:c r="F587" s="102" t="n">
        <x:v>1342059</x:v>
      </x:c>
      <x:c r="G587" s="126" t="n">
        <x:f>D587/F587*10000</x:f>
        <x:v>36.97303918829202</x:v>
      </x:c>
      <x:c r="H587" s="127" t="n">
        <x:f>1+COUNTIFS($C$4:$C$802,C587,$G$4:$G$802,"&gt;"&amp;G587)</x:f>
        <x:v>39</x:v>
      </x:c>
      <x:c r="I587" s="128" t="n">
        <x:f>D587/SUMIF($C$4:$C$802,C587,$D$4:$D$802)</x:f>
        <x:v>0.0024974343668510636</x:v>
      </x:c>
      <x:c r="J587" s="103" t="n">
        <x:f>(D587/SUMIF($A$4:$A$802,A587,$D$4:$D$802))/(SUMIF($C$4:$C$802,C587,$D$4:$D$802)/SUM($D$4:$D$802))</x:f>
        <x:v>0.2520223614729555</x:v>
      </x:c>
    </x:row>
    <x:row r="588">
      <x:c r="A588" s="101" t="str">
        <x:v>山口県</x:v>
      </x:c>
      <x:c r="B588" s="101" t="str">
        <x:v>H</x:v>
      </x:c>
      <x:c r="C588" s="101" t="str">
        <x:v>運輸業，郵便業</x:v>
      </x:c>
      <x:c r="D588" s="102" t="n">
        <x:v>34184</x:v>
      </x:c>
      <x:c r="E588" s="102" t="n">
        <x:f>1+COUNTIFS($C$4:$C$802,C588,$D$4:$D$802,"&gt;"&amp;D588)</x:f>
        <x:v>23</x:v>
      </x:c>
      <x:c r="F588" s="102" t="n">
        <x:v>1342059</x:v>
      </x:c>
      <x:c r="G588" s="126" t="n">
        <x:f>D588/F588*10000</x:f>
        <x:v>254.71309383566592</x:v>
      </x:c>
      <x:c r="H588" s="127" t="n">
        <x:f>1+COUNTIFS($C$4:$C$802,C588,$G$4:$G$802,"&gt;"&amp;G588)</x:f>
        <x:v>16</x:v>
      </x:c>
      <x:c r="I588" s="128" t="n">
        <x:f>D588/SUMIF($C$4:$C$802,C588,$D$4:$D$802)</x:f>
        <x:v>0.01047068459482457</x:v>
      </x:c>
      <x:c r="J588" s="103" t="n">
        <x:f>(D588/SUMIF($A$4:$A$802,A588,$D$4:$D$802))/(SUMIF($C$4:$C$802,C588,$D$4:$D$802)/SUM($D$4:$D$802))</x:f>
        <x:v>1.0566230259550018</x:v>
      </x:c>
    </x:row>
    <x:row r="589">
      <x:c r="A589" s="101" t="str">
        <x:v>山口県</x:v>
      </x:c>
      <x:c r="B589" s="101" t="str">
        <x:v>I</x:v>
      </x:c>
      <x:c r="C589" s="101" t="str">
        <x:v>卸売業，小売業</x:v>
      </x:c>
      <x:c r="D589" s="102" t="n">
        <x:v>114931</x:v>
      </x:c>
      <x:c r="E589" s="102" t="n">
        <x:f>1+COUNTIFS($C$4:$C$802,C589,$D$4:$D$802,"&gt;"&amp;D589)</x:f>
        <x:v>26</x:v>
      </x:c>
      <x:c r="F589" s="102" t="n">
        <x:v>1342059</x:v>
      </x:c>
      <x:c r="G589" s="126" t="n">
        <x:f>D589/F589*10000</x:f>
        <x:v>856.37814730947</x:v>
      </x:c>
      <x:c r="H589" s="127" t="n">
        <x:f>1+COUNTIFS($C$4:$C$802,C589,$G$4:$G$802,"&gt;"&amp;G589)</x:f>
        <x:v>21</x:v>
      </x:c>
      <x:c r="I589" s="128" t="n">
        <x:f>D589/SUMIF($C$4:$C$802,C589,$D$4:$D$802)</x:f>
        <x:v>0.009897670704699756</x:v>
      </x:c>
      <x:c r="J589" s="103" t="n">
        <x:f>(D589/SUMIF($A$4:$A$802,A589,$D$4:$D$802))/(SUMIF($C$4:$C$802,C589,$D$4:$D$802)/SUM($D$4:$D$802))</x:f>
        <x:v>0.9987987581132223</x:v>
      </x:c>
    </x:row>
    <x:row r="590">
      <x:c r="A590" s="101" t="str">
        <x:v>山口県</x:v>
      </x:c>
      <x:c r="B590" s="101" t="str">
        <x:v>J</x:v>
      </x:c>
      <x:c r="C590" s="101" t="str">
        <x:v>金融業，保険業</x:v>
      </x:c>
      <x:c r="D590" s="102" t="n">
        <x:v>11589</x:v>
      </x:c>
      <x:c r="E590" s="102" t="n">
        <x:f>1+COUNTIFS($C$4:$C$802,C590,$D$4:$D$802,"&gt;"&amp;D590)</x:f>
        <x:v>32</x:v>
      </x:c>
      <x:c r="F590" s="102" t="n">
        <x:v>1342059</x:v>
      </x:c>
      <x:c r="G590" s="126" t="n">
        <x:f>D590/F590*10000</x:f>
        <x:v>86.35238838232894</x:v>
      </x:c>
      <x:c r="H590" s="127" t="n">
        <x:f>1+COUNTIFS($C$4:$C$802,C590,$G$4:$G$802,"&gt;"&amp;G590)</x:f>
        <x:v>39</x:v>
      </x:c>
      <x:c r="I590" s="128" t="n">
        <x:f>D590/SUMIF($C$4:$C$802,C590,$D$4:$D$802)</x:f>
        <x:v>0.007754765008337594</x:v>
      </x:c>
      <x:c r="J590" s="103" t="n">
        <x:f>(D590/SUMIF($A$4:$A$802,A590,$D$4:$D$802))/(SUMIF($C$4:$C$802,C590,$D$4:$D$802)/SUM($D$4:$D$802))</x:f>
        <x:v>0.7825527733620855</x:v>
      </x:c>
    </x:row>
    <x:row r="591">
      <x:c r="A591" s="101" t="str">
        <x:v>山口県</x:v>
      </x:c>
      <x:c r="B591" s="101" t="str">
        <x:v>K</x:v>
      </x:c>
      <x:c r="C591" s="101" t="str">
        <x:v>不動産業，物品賃貸業</x:v>
      </x:c>
      <x:c r="D591" s="102" t="n">
        <x:v>10877</x:v>
      </x:c>
      <x:c r="E591" s="102" t="n">
        <x:f>1+COUNTIFS($C$4:$C$802,C591,$D$4:$D$802,"&gt;"&amp;D591)</x:f>
        <x:v>31</x:v>
      </x:c>
      <x:c r="F591" s="102" t="n">
        <x:v>1342059</x:v>
      </x:c>
      <x:c r="G591" s="126" t="n">
        <x:f>D591/F591*10000</x:f>
        <x:v>81.04710746695935</x:v>
      </x:c>
      <x:c r="H591" s="127" t="n">
        <x:f>1+COUNTIFS($C$4:$C$802,C591,$G$4:$G$802,"&gt;"&amp;G591)</x:f>
        <x:v>33</x:v>
      </x:c>
      <x:c r="I591" s="128" t="n">
        <x:f>D591/SUMIF($C$4:$C$802,C591,$D$4:$D$802)</x:f>
        <x:v>0.0067219235936613565</x:v>
      </x:c>
      <x:c r="J591" s="103" t="n">
        <x:f>(D591/SUMIF($A$4:$A$802,A591,$D$4:$D$802))/(SUMIF($C$4:$C$802,C591,$D$4:$D$802)/SUM($D$4:$D$802))</x:f>
        <x:v>0.67832615751633</x:v>
      </x:c>
    </x:row>
    <x:row r="592">
      <x:c r="A592" s="101" t="str">
        <x:v>山口県</x:v>
      </x:c>
      <x:c r="B592" s="101" t="str">
        <x:v>L</x:v>
      </x:c>
      <x:c r="C592" s="101" t="str">
        <x:v>学術研究，専門・技術サービス業</x:v>
      </x:c>
      <x:c r="D592" s="102" t="n">
        <x:v>14550</x:v>
      </x:c>
      <x:c r="E592" s="102" t="n">
        <x:f>1+COUNTIFS($C$4:$C$802,C592,$D$4:$D$802,"&gt;"&amp;D592)</x:f>
        <x:v>26</x:v>
      </x:c>
      <x:c r="F592" s="102" t="n">
        <x:v>1342059</x:v>
      </x:c>
      <x:c r="G592" s="126" t="n">
        <x:f>D592/F592*10000</x:f>
        <x:v>108.41550185200501</x:v>
      </x:c>
      <x:c r="H592" s="127" t="n">
        <x:f>1+COUNTIFS($C$4:$C$802,C592,$G$4:$G$802,"&gt;"&amp;G592)</x:f>
        <x:v>23</x:v>
      </x:c>
      <x:c r="I592" s="128" t="n">
        <x:f>D592/SUMIF($C$4:$C$802,C592,$D$4:$D$802)</x:f>
        <x:v>0.006866705680252204</x:v>
      </x:c>
      <x:c r="J592" s="103" t="n">
        <x:f>(D592/SUMIF($A$4:$A$802,A592,$D$4:$D$802))/(SUMIF($C$4:$C$802,C592,$D$4:$D$802)/SUM($D$4:$D$802))</x:f>
        <x:v>0.6929364807528178</x:v>
      </x:c>
    </x:row>
    <x:row r="593">
      <x:c r="A593" s="101" t="str">
        <x:v>山口県</x:v>
      </x:c>
      <x:c r="B593" s="101" t="str">
        <x:v>M</x:v>
      </x:c>
      <x:c r="C593" s="101" t="str">
        <x:v>宿泊業，飲食サービス業</x:v>
      </x:c>
      <x:c r="D593" s="102" t="n">
        <x:v>43587</x:v>
      </x:c>
      <x:c r="E593" s="102" t="n">
        <x:f>1+COUNTIFS($C$4:$C$802,C593,$D$4:$D$802,"&gt;"&amp;D593)</x:f>
        <x:v>29</x:v>
      </x:c>
      <x:c r="F593" s="102" t="n">
        <x:v>1342059</x:v>
      </x:c>
      <x:c r="G593" s="126" t="n">
        <x:f>D593/F593*10000</x:f>
        <x:v>324.77707760985174</x:v>
      </x:c>
      <x:c r="H593" s="127" t="n">
        <x:f>1+COUNTIFS($C$4:$C$802,C593,$G$4:$G$802,"&gt;"&amp;G593)</x:f>
        <x:v>36</x:v>
      </x:c>
      <x:c r="I593" s="128" t="n">
        <x:f>D593/SUMIF($C$4:$C$802,C593,$D$4:$D$802)</x:f>
        <x:v>0.009315971675274043</x:v>
      </x:c>
      <x:c r="J593" s="103" t="n">
        <x:f>(D593/SUMIF($A$4:$A$802,A593,$D$4:$D$802))/(SUMIF($C$4:$C$802,C593,$D$4:$D$802)/SUM($D$4:$D$802))</x:f>
        <x:v>0.9400980510963491</x:v>
      </x:c>
    </x:row>
    <x:row r="594">
      <x:c r="A594" s="101" t="str">
        <x:v>山口県</x:v>
      </x:c>
      <x:c r="B594" s="101" t="str">
        <x:v>N</x:v>
      </x:c>
      <x:c r="C594" s="101" t="str">
        <x:v>生活関連サービス業，娯楽業</x:v>
      </x:c>
      <x:c r="D594" s="102" t="n">
        <x:v>21495</x:v>
      </x:c>
      <x:c r="E594" s="102" t="n">
        <x:f>1+COUNTIFS($C$4:$C$802,C594,$D$4:$D$802,"&gt;"&amp;D594)</x:f>
        <x:v>29</x:v>
      </x:c>
      <x:c r="F594" s="102" t="n">
        <x:v>1342059</x:v>
      </x:c>
      <x:c r="G594" s="126" t="n">
        <x:f>D594/F594*10000</x:f>
        <x:v>160.1643444885806</x:v>
      </x:c>
      <x:c r="H594" s="127" t="n">
        <x:f>1+COUNTIFS($C$4:$C$802,C594,$G$4:$G$802,"&gt;"&amp;G594)</x:f>
        <x:v>35</x:v>
      </x:c>
      <x:c r="I594" s="128" t="n">
        <x:f>D594/SUMIF($C$4:$C$802,C594,$D$4:$D$802)</x:f>
        <x:v>0.009877585944647837</x:v>
      </x:c>
      <x:c r="J594" s="103" t="n">
        <x:f>(D594/SUMIF($A$4:$A$802,A594,$D$4:$D$802))/(SUMIF($C$4:$C$802,C594,$D$4:$D$802)/SUM($D$4:$D$802))</x:f>
        <x:v>0.9967719546363868</x:v>
      </x:c>
    </x:row>
    <x:row r="595">
      <x:c r="A595" s="101" t="str">
        <x:v>山口県</x:v>
      </x:c>
      <x:c r="B595" s="101" t="str">
        <x:v>O</x:v>
      </x:c>
      <x:c r="C595" s="101" t="str">
        <x:v>教育，学習支援業</x:v>
      </x:c>
      <x:c r="D595" s="102" t="n">
        <x:v>15967</x:v>
      </x:c>
      <x:c r="E595" s="102" t="n">
        <x:f>1+COUNTIFS($C$4:$C$802,C595,$D$4:$D$802,"&gt;"&amp;D595)</x:f>
        <x:v>31</x:v>
      </x:c>
      <x:c r="F595" s="102" t="n">
        <x:v>1342059</x:v>
      </x:c>
      <x:c r="G595" s="126" t="n">
        <x:f>D595/F595*10000</x:f>
        <x:v>118.97390502205938</x:v>
      </x:c>
      <x:c r="H595" s="127" t="n">
        <x:f>1+COUNTIFS($C$4:$C$802,C595,$G$4:$G$802,"&gt;"&amp;G595)</x:f>
        <x:v>36</x:v>
      </x:c>
      <x:c r="I595" s="128" t="n">
        <x:f>D595/SUMIF($C$4:$C$802,C595,$D$4:$D$802)</x:f>
        <x:v>0.008185124163519988</x:v>
      </x:c>
      <x:c r="J595" s="103" t="n">
        <x:f>(D595/SUMIF($A$4:$A$802,A595,$D$4:$D$802))/(SUMIF($C$4:$C$802,C595,$D$4:$D$802)/SUM($D$4:$D$802))</x:f>
        <x:v>0.8259813943541666</x:v>
      </x:c>
    </x:row>
    <x:row r="596">
      <x:c r="A596" s="101" t="str">
        <x:v>山口県</x:v>
      </x:c>
      <x:c r="B596" s="101" t="str">
        <x:v>P</x:v>
      </x:c>
      <x:c r="C596" s="101" t="str">
        <x:v>医療，福祉</x:v>
      </x:c>
      <x:c r="D596" s="102" t="n">
        <x:v>100082</x:v>
      </x:c>
      <x:c r="E596" s="102" t="n">
        <x:f>1+COUNTIFS($C$4:$C$802,C596,$D$4:$D$802,"&gt;"&amp;D596)</x:f>
        <x:v>27</x:v>
      </x:c>
      <x:c r="F596" s="102" t="n">
        <x:v>1342059</x:v>
      </x:c>
      <x:c r="G596" s="126" t="n">
        <x:f>D596/F596*10000</x:f>
        <x:v>745.7347255224994</x:v>
      </x:c>
      <x:c r="H596" s="127" t="n">
        <x:f>1+COUNTIFS($C$4:$C$802,C596,$G$4:$G$802,"&gt;"&amp;G596)</x:f>
        <x:v>13</x:v>
      </x:c>
      <x:c r="I596" s="128" t="n">
        <x:f>D596/SUMIF($C$4:$C$802,C596,$D$4:$D$802)</x:f>
        <x:v>0.012261347706887119</x:v>
      </x:c>
      <x:c r="J596" s="103" t="n">
        <x:f>(D596/SUMIF($A$4:$A$802,A596,$D$4:$D$802))/(SUMIF($C$4:$C$802,C596,$D$4:$D$802)/SUM($D$4:$D$802))</x:f>
        <x:v>1.2373233286714767</x:v>
      </x:c>
    </x:row>
    <x:row r="597">
      <x:c r="A597" s="101" t="str">
        <x:v>山口県</x:v>
      </x:c>
      <x:c r="B597" s="101" t="str">
        <x:v>Q</x:v>
      </x:c>
      <x:c r="C597" s="101" t="str">
        <x:v>複合サービス事業</x:v>
      </x:c>
      <x:c r="D597" s="102" t="n">
        <x:v>6510</x:v>
      </x:c>
      <x:c r="E597" s="102" t="n">
        <x:f>1+COUNTIFS($C$4:$C$802,C597,$D$4:$D$802,"&gt;"&amp;D597)</x:f>
        <x:v>27</x:v>
      </x:c>
      <x:c r="F597" s="102" t="n">
        <x:v>1342059</x:v>
      </x:c>
      <x:c r="G597" s="126" t="n">
        <x:f>D597/F597*10000</x:f>
        <x:v>48.507554436876475</x:v>
      </x:c>
      <x:c r="H597" s="127" t="n">
        <x:f>1+COUNTIFS($C$4:$C$802,C597,$G$4:$G$802,"&gt;"&amp;G597)</x:f>
        <x:v>15</x:v>
      </x:c>
      <x:c r="I597" s="128" t="n">
        <x:f>D597/SUMIF($C$4:$C$802,C597,$D$4:$D$802)</x:f>
        <x:v>0.014932220106888088</x:v>
      </x:c>
      <x:c r="J597" s="103" t="n">
        <x:f>(D597/SUMIF($A$4:$A$802,A597,$D$4:$D$802))/(SUMIF($C$4:$C$802,C597,$D$4:$D$802)/SUM($D$4:$D$802))</x:f>
        <x:v>1.5068477567708223</x:v>
      </x:c>
    </x:row>
    <x:row r="598">
      <x:c r="A598" s="101" t="str">
        <x:v>山口県</x:v>
      </x:c>
      <x:c r="B598" s="101" t="str">
        <x:v>R</x:v>
      </x:c>
      <x:c r="C598" s="101" t="str">
        <x:v>サービス業（他に分類されないもの）</x:v>
      </x:c>
      <x:c r="D598" s="102" t="n">
        <x:v>41561</x:v>
      </x:c>
      <x:c r="E598" s="102" t="n">
        <x:f>1+COUNTIFS($C$4:$C$802,C598,$D$4:$D$802,"&gt;"&amp;D598)</x:f>
        <x:v>28</x:v>
      </x:c>
      <x:c r="F598" s="102" t="n">
        <x:v>1342059</x:v>
      </x:c>
      <x:c r="G598" s="126" t="n">
        <x:f>D598/F598*10000</x:f>
        <x:v>309.6808709602186</x:v>
      </x:c>
      <x:c r="H598" s="127" t="n">
        <x:f>1+COUNTIFS($C$4:$C$802,C598,$G$4:$G$802,"&gt;"&amp;G598)</x:f>
        <x:v>34</x:v>
      </x:c>
      <x:c r="I598" s="128" t="n">
        <x:f>D598/SUMIF($C$4:$C$802,C598,$D$4:$D$802)</x:f>
        <x:v>0.007940069582833508</x:v>
      </x:c>
      <x:c r="J598" s="103" t="n">
        <x:f>(D598/SUMIF($A$4:$A$802,A598,$D$4:$D$802))/(SUMIF($C$4:$C$802,C598,$D$4:$D$802)/SUM($D$4:$D$802))</x:f>
        <x:v>0.801252322417737</x:v>
      </x:c>
    </x:row>
    <x:row r="599">
      <x:c r="A599" s="101" t="str">
        <x:v>徳島県</x:v>
      </x:c>
      <x:c r="B599" s="101" t="str">
        <x:v>AB</x:v>
      </x:c>
      <x:c r="C599" s="101" t="str">
        <x:v>農林漁業</x:v>
      </x:c>
      <x:c r="D599" s="102" t="n">
        <x:v>4024</x:v>
      </x:c>
      <x:c r="E599" s="102" t="n">
        <x:f>1+COUNTIFS($C$4:$C$802,C599,$D$4:$D$802,"&gt;"&amp;D599)</x:f>
        <x:v>42</x:v>
      </x:c>
      <x:c r="F599" s="102" t="n">
        <x:v>719559</x:v>
      </x:c>
      <x:c r="G599" s="126" t="n">
        <x:f>D599/F599*10000</x:f>
        <x:v>55.92314181324951</x:v>
      </x:c>
      <x:c r="H599" s="127" t="n">
        <x:f>1+COUNTIFS($C$4:$C$802,C599,$G$4:$G$802,"&gt;"&amp;G599)</x:f>
        <x:v>21</x:v>
      </x:c>
      <x:c r="I599" s="128" t="n">
        <x:f>D599/SUMIF($C$4:$C$802,C599,$D$4:$D$802)</x:f>
        <x:v>0.008869238246165444</x:v>
      </x:c>
      <x:c r="J599" s="103" t="n">
        <x:f>(D599/SUMIF($A$4:$A$802,A599,$D$4:$D$802))/(SUMIF($C$4:$C$802,C599,$D$4:$D$802)/SUM($D$4:$D$802))</x:f>
        <x:v>1.6877535956393015</x:v>
      </x:c>
    </x:row>
    <x:row r="600">
      <x:c r="A600" s="101" t="str">
        <x:v>徳島県</x:v>
      </x:c>
      <x:c r="B600" s="101" t="str">
        <x:v>C</x:v>
      </x:c>
      <x:c r="C600" s="101" t="str">
        <x:v>鉱業，採石業，砂利採取業</x:v>
      </x:c>
      <x:c r="D600" s="102" t="n">
        <x:v>125</x:v>
      </x:c>
      <x:c r="E600" s="102" t="n">
        <x:f>1+COUNTIFS($C$4:$C$802,C600,$D$4:$D$802,"&gt;"&amp;D600)</x:f>
        <x:v>41</x:v>
      </x:c>
      <x:c r="F600" s="102" t="n">
        <x:v>719559</x:v>
      </x:c>
      <x:c r="G600" s="126" t="n">
        <x:f>D600/F600*10000</x:f>
        <x:v>1.7371751308787744</x:v>
      </x:c>
      <x:c r="H600" s="127" t="n">
        <x:f>1+COUNTIFS($C$4:$C$802,C600,$G$4:$G$802,"&gt;"&amp;G600)</x:f>
        <x:v>23</x:v>
      </x:c>
      <x:c r="I600" s="128" t="n">
        <x:f>D600/SUMIF($C$4:$C$802,C600,$D$4:$D$802)</x:f>
        <x:v>0.006346144082855257</x:v>
      </x:c>
      <x:c r="J600" s="103" t="n">
        <x:f>(D600/SUMIF($A$4:$A$802,A600,$D$4:$D$802))/(SUMIF($C$4:$C$802,C600,$D$4:$D$802)/SUM($D$4:$D$802))</x:f>
        <x:v>1.2076265398457133</x:v>
      </x:c>
    </x:row>
    <x:row r="601">
      <x:c r="A601" s="101" t="str">
        <x:v>徳島県</x:v>
      </x:c>
      <x:c r="B601" s="101" t="str">
        <x:v>D</x:v>
      </x:c>
      <x:c r="C601" s="101" t="str">
        <x:v>建設業</x:v>
      </x:c>
      <x:c r="D601" s="102" t="n">
        <x:v>20972</x:v>
      </x:c>
      <x:c r="E601" s="102" t="n">
        <x:f>1+COUNTIFS($C$4:$C$802,C601,$D$4:$D$802,"&gt;"&amp;D601)</x:f>
        <x:v>46</x:v>
      </x:c>
      <x:c r="F601" s="102" t="n">
        <x:v>719559</x:v>
      </x:c>
      <x:c r="G601" s="126" t="n">
        <x:f>D601/F601*10000</x:f>
        <x:v>291.45629475831726</x:v>
      </x:c>
      <x:c r="H601" s="127" t="n">
        <x:f>1+COUNTIFS($C$4:$C$802,C601,$G$4:$G$802,"&gt;"&amp;G601)</x:f>
        <x:v>33</x:v>
      </x:c>
      <x:c r="I601" s="128" t="n">
        <x:f>D601/SUMIF($C$4:$C$802,C601,$D$4:$D$802)</x:f>
        <x:v>0.005611365074523434</x:v>
      </x:c>
      <x:c r="J601" s="103" t="n">
        <x:f>(D601/SUMIF($A$4:$A$802,A601,$D$4:$D$802))/(SUMIF($C$4:$C$802,C601,$D$4:$D$802)/SUM($D$4:$D$802))</x:f>
        <x:v>1.0678032676669018</x:v>
      </x:c>
    </x:row>
    <x:row r="602">
      <x:c r="A602" s="101" t="str">
        <x:v>徳島県</x:v>
      </x:c>
      <x:c r="B602" s="101" t="str">
        <x:v>E</x:v>
      </x:c>
      <x:c r="C602" s="101" t="str">
        <x:v>製造業</x:v>
      </x:c>
      <x:c r="D602" s="102" t="n">
        <x:v>52660</x:v>
      </x:c>
      <x:c r="E602" s="102" t="n">
        <x:f>1+COUNTIFS($C$4:$C$802,C602,$D$4:$D$802,"&gt;"&amp;D602)</x:f>
        <x:v>43</x:v>
      </x:c>
      <x:c r="F602" s="102" t="n">
        <x:v>719559</x:v>
      </x:c>
      <x:c r="G602" s="126" t="n">
        <x:f>D602/F602*10000</x:f>
        <x:v>731.8371391366101</x:v>
      </x:c>
      <x:c r="H602" s="127" t="n">
        <x:f>1+COUNTIFS($C$4:$C$802,C602,$G$4:$G$802,"&gt;"&amp;G602)</x:f>
        <x:v>24</x:v>
      </x:c>
      <x:c r="I602" s="128" t="n">
        <x:f>D602/SUMIF($C$4:$C$802,C602,$D$4:$D$802)</x:f>
        <x:v>0.005981614656568877</x:v>
      </x:c>
      <x:c r="J602" s="103" t="n">
        <x:f>(D602/SUMIF($A$4:$A$802,A602,$D$4:$D$802))/(SUMIF($C$4:$C$802,C602,$D$4:$D$802)/SUM($D$4:$D$802))</x:f>
        <x:v>1.1382591564408124</x:v>
      </x:c>
    </x:row>
    <x:row r="603">
      <x:c r="A603" s="101" t="str">
        <x:v>徳島県</x:v>
      </x:c>
      <x:c r="B603" s="101" t="str">
        <x:v>F</x:v>
      </x:c>
      <x:c r="C603" s="101" t="str">
        <x:v>電気・ガス・熱供給・水道業</x:v>
      </x:c>
      <x:c r="D603" s="102" t="n">
        <x:v>978</x:v>
      </x:c>
      <x:c r="E603" s="102" t="n">
        <x:f>1+COUNTIFS($C$4:$C$802,C603,$D$4:$D$802,"&gt;"&amp;D603)</x:f>
        <x:v>45</x:v>
      </x:c>
      <x:c r="F603" s="102" t="n">
        <x:v>719559</x:v>
      </x:c>
      <x:c r="G603" s="126" t="n">
        <x:f>D603/F603*10000</x:f>
        <x:v>13.59165822399553</x:v>
      </x:c>
      <x:c r="H603" s="127" t="n">
        <x:f>1+COUNTIFS($C$4:$C$802,C603,$G$4:$G$802,"&gt;"&amp;G603)</x:f>
        <x:v>33</x:v>
      </x:c>
      <x:c r="I603" s="128" t="n">
        <x:f>D603/SUMIF($C$4:$C$802,C603,$D$4:$D$802)</x:f>
        <x:v>0.0048380155232031815</x:v>
      </x:c>
      <x:c r="J603" s="103" t="n">
        <x:f>(D603/SUMIF($A$4:$A$802,A603,$D$4:$D$802))/(SUMIF($C$4:$C$802,C603,$D$4:$D$802)/SUM($D$4:$D$802))</x:f>
        <x:v>0.9206402927077952</x:v>
      </x:c>
    </x:row>
    <x:row r="604">
      <x:c r="A604" s="101" t="str">
        <x:v>徳島県</x:v>
      </x:c>
      <x:c r="B604" s="101" t="str">
        <x:v>G</x:v>
      </x:c>
      <x:c r="C604" s="101" t="str">
        <x:v>情報通信業</x:v>
      </x:c>
      <x:c r="D604" s="102" t="n">
        <x:v>3061</x:v>
      </x:c>
      <x:c r="E604" s="102" t="n">
        <x:f>1+COUNTIFS($C$4:$C$802,C604,$D$4:$D$802,"&gt;"&amp;D604)</x:f>
        <x:v>45</x:v>
      </x:c>
      <x:c r="F604" s="102" t="n">
        <x:v>719559</x:v>
      </x:c>
      <x:c r="G604" s="126" t="n">
        <x:f>D604/F604*10000</x:f>
        <x:v>42.53994460495942</x:v>
      </x:c>
      <x:c r="H604" s="127" t="n">
        <x:f>1+COUNTIFS($C$4:$C$802,C604,$G$4:$G$802,"&gt;"&amp;G604)</x:f>
        <x:v>34</x:v>
      </x:c>
      <x:c r="I604" s="128" t="n">
        <x:f>D604/SUMIF($C$4:$C$802,C604,$D$4:$D$802)</x:f>
        <x:v>0.0015406381694742252</x:v>
      </x:c>
      <x:c r="J604" s="103" t="n">
        <x:f>(D604/SUMIF($A$4:$A$802,A604,$D$4:$D$802))/(SUMIF($C$4:$C$802,C604,$D$4:$D$802)/SUM($D$4:$D$802))</x:f>
        <x:v>0.2931725970078053</x:v>
      </x:c>
    </x:row>
    <x:row r="605">
      <x:c r="A605" s="101" t="str">
        <x:v>徳島県</x:v>
      </x:c>
      <x:c r="B605" s="101" t="str">
        <x:v>H</x:v>
      </x:c>
      <x:c r="C605" s="101" t="str">
        <x:v>運輸業，郵便業</x:v>
      </x:c>
      <x:c r="D605" s="102" t="n">
        <x:v>13702</x:v>
      </x:c>
      <x:c r="E605" s="102" t="n">
        <x:f>1+COUNTIFS($C$4:$C$802,C605,$D$4:$D$802,"&gt;"&amp;D605)</x:f>
        <x:v>44</x:v>
      </x:c>
      <x:c r="F605" s="102" t="n">
        <x:v>719559</x:v>
      </x:c>
      <x:c r="G605" s="126" t="n">
        <x:f>D605/F605*10000</x:f>
        <x:v>190.42218914640773</x:v>
      </x:c>
      <x:c r="H605" s="127" t="n">
        <x:f>1+COUNTIFS($C$4:$C$802,C605,$G$4:$G$802,"&gt;"&amp;G605)</x:f>
        <x:v>39</x:v>
      </x:c>
      <x:c r="I605" s="128" t="n">
        <x:f>D605/SUMIF($C$4:$C$802,C605,$D$4:$D$802)</x:f>
        <x:v>0.004196972862107602</x:v>
      </x:c>
      <x:c r="J605" s="103" t="n">
        <x:f>(D605/SUMIF($A$4:$A$802,A605,$D$4:$D$802))/(SUMIF($C$4:$C$802,C605,$D$4:$D$802)/SUM($D$4:$D$802))</x:f>
        <x:v>0.7986543874706672</x:v>
      </x:c>
    </x:row>
    <x:row r="606">
      <x:c r="A606" s="101" t="str">
        <x:v>徳島県</x:v>
      </x:c>
      <x:c r="B606" s="101" t="str">
        <x:v>I</x:v>
      </x:c>
      <x:c r="C606" s="101" t="str">
        <x:v>卸売業，小売業</x:v>
      </x:c>
      <x:c r="D606" s="102" t="n">
        <x:v>58794</x:v>
      </x:c>
      <x:c r="E606" s="102" t="n">
        <x:f>1+COUNTIFS($C$4:$C$802,C606,$D$4:$D$802,"&gt;"&amp;D606)</x:f>
        <x:v>45</x:v>
      </x:c>
      <x:c r="F606" s="102" t="n">
        <x:v>719559</x:v>
      </x:c>
      <x:c r="G606" s="126" t="n">
        <x:f>D606/F606*10000</x:f>
        <x:v>817.0837971590933</x:v>
      </x:c>
      <x:c r="H606" s="127" t="n">
        <x:f>1+COUNTIFS($C$4:$C$802,C606,$G$4:$G$802,"&gt;"&amp;G606)</x:f>
        <x:v>38</x:v>
      </x:c>
      <x:c r="I606" s="128" t="n">
        <x:f>D606/SUMIF($C$4:$C$802,C606,$D$4:$D$802)</x:f>
        <x:v>0.0050632436106195665</x:v>
      </x:c>
      <x:c r="J606" s="103" t="n">
        <x:f>(D606/SUMIF($A$4:$A$802,A606,$D$4:$D$802))/(SUMIF($C$4:$C$802,C606,$D$4:$D$802)/SUM($D$4:$D$802))</x:f>
        <x:v>0.9634996120569302</x:v>
      </x:c>
    </x:row>
    <x:row r="607">
      <x:c r="A607" s="101" t="str">
        <x:v>徳島県</x:v>
      </x:c>
      <x:c r="B607" s="101" t="str">
        <x:v>J</x:v>
      </x:c>
      <x:c r="C607" s="101" t="str">
        <x:v>金融業，保険業</x:v>
      </x:c>
      <x:c r="D607" s="102" t="n">
        <x:v>8092</x:v>
      </x:c>
      <x:c r="E607" s="102" t="n">
        <x:f>1+COUNTIFS($C$4:$C$802,C607,$D$4:$D$802,"&gt;"&amp;D607)</x:f>
        <x:v>43</x:v>
      </x:c>
      <x:c r="F607" s="102" t="n">
        <x:v>719559</x:v>
      </x:c>
      <x:c r="G607" s="126" t="n">
        <x:f>D607/F607*10000</x:f>
        <x:v>112.45776927256834</x:v>
      </x:c>
      <x:c r="H607" s="127" t="n">
        <x:f>1+COUNTIFS($C$4:$C$802,C607,$G$4:$G$802,"&gt;"&amp;G607)</x:f>
        <x:v>7</x:v>
      </x:c>
      <x:c r="I607" s="128" t="n">
        <x:f>D607/SUMIF($C$4:$C$802,C607,$D$4:$D$802)</x:f>
        <x:v>0.005414751785958047</x:v>
      </x:c>
      <x:c r="J607" s="103" t="n">
        <x:f>(D607/SUMIF($A$4:$A$802,A607,$D$4:$D$802))/(SUMIF($C$4:$C$802,C607,$D$4:$D$802)/SUM($D$4:$D$802))</x:f>
        <x:v>1.0303891430807046</x:v>
      </x:c>
    </x:row>
    <x:row r="608">
      <x:c r="A608" s="101" t="str">
        <x:v>徳島県</x:v>
      </x:c>
      <x:c r="B608" s="101" t="str">
        <x:v>K</x:v>
      </x:c>
      <x:c r="C608" s="101" t="str">
        <x:v>不動産業，物品賃貸業</x:v>
      </x:c>
      <x:c r="D608" s="102" t="n">
        <x:v>6774</x:v>
      </x:c>
      <x:c r="E608" s="102" t="n">
        <x:f>1+COUNTIFS($C$4:$C$802,C608,$D$4:$D$802,"&gt;"&amp;D608)</x:f>
        <x:v>41</x:v>
      </x:c>
      <x:c r="F608" s="102" t="n">
        <x:v>719559</x:v>
      </x:c>
      <x:c r="G608" s="126" t="n">
        <x:f>D608/F608*10000</x:f>
        <x:v>94.14099469258254</x:v>
      </x:c>
      <x:c r="H608" s="127" t="n">
        <x:f>1+COUNTIFS($C$4:$C$802,C608,$G$4:$G$802,"&gt;"&amp;G608)</x:f>
        <x:v>19</x:v>
      </x:c>
      <x:c r="I608" s="128" t="n">
        <x:f>D608/SUMIF($C$4:$C$802,C608,$D$4:$D$802)</x:f>
        <x:v>0.004186293134454539</x:v>
      </x:c>
      <x:c r="J608" s="103" t="n">
        <x:f>(D608/SUMIF($A$4:$A$802,A608,$D$4:$D$802))/(SUMIF($C$4:$C$802,C608,$D$4:$D$802)/SUM($D$4:$D$802))</x:f>
        <x:v>0.7966221104873876</x:v>
      </x:c>
    </x:row>
    <x:row r="609">
      <x:c r="A609" s="101" t="str">
        <x:v>徳島県</x:v>
      </x:c>
      <x:c r="B609" s="101" t="str">
        <x:v>L</x:v>
      </x:c>
      <x:c r="C609" s="101" t="str">
        <x:v>学術研究，専門・技術サービス業</x:v>
      </x:c>
      <x:c r="D609" s="102" t="n">
        <x:v>7081</x:v>
      </x:c>
      <x:c r="E609" s="102" t="n">
        <x:f>1+COUNTIFS($C$4:$C$802,C609,$D$4:$D$802,"&gt;"&amp;D609)</x:f>
        <x:v>44</x:v>
      </x:c>
      <x:c r="F609" s="102" t="n">
        <x:v>719559</x:v>
      </x:c>
      <x:c r="G609" s="126" t="n">
        <x:f>D609/F609*10000</x:f>
        <x:v>98.40749681402082</x:v>
      </x:c>
      <x:c r="H609" s="127" t="n">
        <x:f>1+COUNTIFS($C$4:$C$802,C609,$G$4:$G$802,"&gt;"&amp;G609)</x:f>
        <x:v>33</x:v>
      </x:c>
      <x:c r="I609" s="128" t="n">
        <x:f>D609/SUMIF($C$4:$C$802,C609,$D$4:$D$802)</x:f>
        <x:v>0.003341796764389406</x:v>
      </x:c>
      <x:c r="J609" s="103" t="n">
        <x:f>(D609/SUMIF($A$4:$A$802,A609,$D$4:$D$802))/(SUMIF($C$4:$C$802,C609,$D$4:$D$802)/SUM($D$4:$D$802))</x:f>
        <x:v>0.6359203968201527</x:v>
      </x:c>
    </x:row>
    <x:row r="610">
      <x:c r="A610" s="101" t="str">
        <x:v>徳島県</x:v>
      </x:c>
      <x:c r="B610" s="101" t="str">
        <x:v>M</x:v>
      </x:c>
      <x:c r="C610" s="101" t="str">
        <x:v>宿泊業，飲食サービス業</x:v>
      </x:c>
      <x:c r="D610" s="102" t="n">
        <x:v>23425</x:v>
      </x:c>
      <x:c r="E610" s="102" t="n">
        <x:f>1+COUNTIFS($C$4:$C$802,C610,$D$4:$D$802,"&gt;"&amp;D610)</x:f>
        <x:v>45</x:v>
      </x:c>
      <x:c r="F610" s="102" t="n">
        <x:v>719559</x:v>
      </x:c>
      <x:c r="G610" s="126" t="n">
        <x:f>D610/F610*10000</x:f>
        <x:v>325.5466195266823</x:v>
      </x:c>
      <x:c r="H610" s="127" t="n">
        <x:f>1+COUNTIFS($C$4:$C$802,C610,$G$4:$G$802,"&gt;"&amp;G610)</x:f>
        <x:v>35</x:v>
      </x:c>
      <x:c r="I610" s="128" t="n">
        <x:f>D610/SUMIF($C$4:$C$802,C610,$D$4:$D$802)</x:f>
        <x:v>0.005006690905391389</x:v>
      </x:c>
      <x:c r="J610" s="103" t="n">
        <x:f>(D610/SUMIF($A$4:$A$802,A610,$D$4:$D$802))/(SUMIF($C$4:$C$802,C610,$D$4:$D$802)/SUM($D$4:$D$802))</x:f>
        <x:v>0.9527380304032576</x:v>
      </x:c>
    </x:row>
    <x:row r="611">
      <x:c r="A611" s="101" t="str">
        <x:v>徳島県</x:v>
      </x:c>
      <x:c r="B611" s="101" t="str">
        <x:v>N</x:v>
      </x:c>
      <x:c r="C611" s="101" t="str">
        <x:v>生活関連サービス業，娯楽業</x:v>
      </x:c>
      <x:c r="D611" s="102" t="n">
        <x:v>11499</x:v>
      </x:c>
      <x:c r="E611" s="102" t="n">
        <x:f>1+COUNTIFS($C$4:$C$802,C611,$D$4:$D$802,"&gt;"&amp;D611)</x:f>
        <x:v>44</x:v>
      </x:c>
      <x:c r="F611" s="102" t="n">
        <x:v>719559</x:v>
      </x:c>
      <x:c r="G611" s="126" t="n">
        <x:f>D611/F611*10000</x:f>
        <x:v>159.8062146398002</x:v>
      </x:c>
      <x:c r="H611" s="127" t="n">
        <x:f>1+COUNTIFS($C$4:$C$802,C611,$G$4:$G$802,"&gt;"&amp;G611)</x:f>
        <x:v>36</x:v>
      </x:c>
      <x:c r="I611" s="128" t="n">
        <x:f>D611/SUMIF($C$4:$C$802,C611,$D$4:$D$802)</x:f>
        <x:v>0.005284129368574342</x:v>
      </x:c>
      <x:c r="J611" s="103" t="n">
        <x:f>(D611/SUMIF($A$4:$A$802,A611,$D$4:$D$802))/(SUMIF($C$4:$C$802,C611,$D$4:$D$802)/SUM($D$4:$D$802))</x:f>
        <x:v>1.0055326166810716</x:v>
      </x:c>
    </x:row>
    <x:row r="612">
      <x:c r="A612" s="101" t="str">
        <x:v>徳島県</x:v>
      </x:c>
      <x:c r="B612" s="101" t="str">
        <x:v>O</x:v>
      </x:c>
      <x:c r="C612" s="101" t="str">
        <x:v>教育，学習支援業</x:v>
      </x:c>
      <x:c r="D612" s="102" t="n">
        <x:v>10711</x:v>
      </x:c>
      <x:c r="E612" s="102" t="n">
        <x:f>1+COUNTIFS($C$4:$C$802,C612,$D$4:$D$802,"&gt;"&amp;D612)</x:f>
        <x:v>42</x:v>
      </x:c>
      <x:c r="F612" s="102" t="n">
        <x:v>719559</x:v>
      </x:c>
      <x:c r="G612" s="126" t="n">
        <x:f>D612/F612*10000</x:f>
        <x:v>148.8550626147404</x:v>
      </x:c>
      <x:c r="H612" s="127" t="n">
        <x:f>1+COUNTIFS($C$4:$C$802,C612,$G$4:$G$802,"&gt;"&amp;G612)</x:f>
        <x:v>14</x:v>
      </x:c>
      <x:c r="I612" s="128" t="n">
        <x:f>D612/SUMIF($C$4:$C$802,C612,$D$4:$D$802)</x:f>
        <x:v>0.005490753736798559</x:v>
      </x:c>
      <x:c r="J612" s="103" t="n">
        <x:f>(D612/SUMIF($A$4:$A$802,A612,$D$4:$D$802))/(SUMIF($C$4:$C$802,C612,$D$4:$D$802)/SUM($D$4:$D$802))</x:f>
        <x:v>1.0448517792447667</x:v>
      </x:c>
    </x:row>
    <x:row r="613">
      <x:c r="A613" s="101" t="str">
        <x:v>徳島県</x:v>
      </x:c>
      <x:c r="B613" s="101" t="str">
        <x:v>P</x:v>
      </x:c>
      <x:c r="C613" s="101" t="str">
        <x:v>医療，福祉</x:v>
      </x:c>
      <x:c r="D613" s="102" t="n">
        <x:v>58082</x:v>
      </x:c>
      <x:c r="E613" s="102" t="n">
        <x:f>1+COUNTIFS($C$4:$C$802,C613,$D$4:$D$802,"&gt;"&amp;D613)</x:f>
        <x:v>42</x:v>
      </x:c>
      <x:c r="F613" s="102" t="n">
        <x:v>719559</x:v>
      </x:c>
      <x:c r="G613" s="126" t="n">
        <x:f>D613/F613*10000</x:f>
        <x:v>807.1888476136079</x:v>
      </x:c>
      <x:c r="H613" s="127" t="n">
        <x:f>1+COUNTIFS($C$4:$C$802,C613,$G$4:$G$802,"&gt;"&amp;G613)</x:f>
        <x:v>6</x:v>
      </x:c>
      <x:c r="I613" s="128" t="n">
        <x:f>D613/SUMIF($C$4:$C$802,C613,$D$4:$D$802)</x:f>
        <x:v>0.007115801018279187</x:v>
      </x:c>
      <x:c r="J613" s="103" t="n">
        <x:f>(D613/SUMIF($A$4:$A$802,A613,$D$4:$D$802))/(SUMIF($C$4:$C$802,C613,$D$4:$D$802)/SUM($D$4:$D$802))</x:f>
        <x:v>1.3540868359970852</x:v>
      </x:c>
    </x:row>
    <x:row r="614">
      <x:c r="A614" s="101" t="str">
        <x:v>徳島県</x:v>
      </x:c>
      <x:c r="B614" s="101" t="str">
        <x:v>Q</x:v>
      </x:c>
      <x:c r="C614" s="101" t="str">
        <x:v>複合サービス事業</x:v>
      </x:c>
      <x:c r="D614" s="102" t="n">
        <x:v>3281</x:v>
      </x:c>
      <x:c r="E614" s="102" t="n">
        <x:f>1+COUNTIFS($C$4:$C$802,C614,$D$4:$D$802,"&gt;"&amp;D614)</x:f>
        <x:v>46</x:v>
      </x:c>
      <x:c r="F614" s="102" t="n">
        <x:v>719559</x:v>
      </x:c>
      <x:c r="G614" s="126" t="n">
        <x:f>D614/F614*10000</x:f>
        <x:v>45.597372835306075</x:v>
      </x:c>
      <x:c r="H614" s="127" t="n">
        <x:f>1+COUNTIFS($C$4:$C$802,C614,$G$4:$G$802,"&gt;"&amp;G614)</x:f>
        <x:v>18</x:v>
      </x:c>
      <x:c r="I614" s="128" t="n">
        <x:f>D614/SUMIF($C$4:$C$802,C614,$D$4:$D$802)</x:f>
        <x:v>0.0075257471844392965</x:v>
      </x:c>
      <x:c r="J614" s="103" t="n">
        <x:f>(D614/SUMIF($A$4:$A$802,A614,$D$4:$D$802))/(SUMIF($C$4:$C$802,C614,$D$4:$D$802)/SUM($D$4:$D$802))</x:f>
        <x:v>1.432096705249882</x:v>
      </x:c>
    </x:row>
    <x:row r="615">
      <x:c r="A615" s="101" t="str">
        <x:v>徳島県</x:v>
      </x:c>
      <x:c r="B615" s="101" t="str">
        <x:v>R</x:v>
      </x:c>
      <x:c r="C615" s="101" t="str">
        <x:v>サービス業（他に分類されないもの）</x:v>
      </x:c>
      <x:c r="D615" s="102" t="n">
        <x:v>21269</x:v>
      </x:c>
      <x:c r="E615" s="102" t="n">
        <x:f>1+COUNTIFS($C$4:$C$802,C615,$D$4:$D$802,"&gt;"&amp;D615)</x:f>
        <x:v>45</x:v>
      </x:c>
      <x:c r="F615" s="102" t="n">
        <x:v>719559</x:v>
      </x:c>
      <x:c r="G615" s="126" t="n">
        <x:f>D615/F615*10000</x:f>
        <x:v>295.5838228692852</x:v>
      </x:c>
      <x:c r="H615" s="127" t="n">
        <x:f>1+COUNTIFS($C$4:$C$802,C615,$G$4:$G$802,"&gt;"&amp;G615)</x:f>
        <x:v>39</x:v>
      </x:c>
      <x:c r="I615" s="128" t="n">
        <x:f>D615/SUMIF($C$4:$C$802,C615,$D$4:$D$802)</x:f>
        <x:v>0.004063360842070352</x:v>
      </x:c>
      <x:c r="J615" s="103" t="n">
        <x:f>(D615/SUMIF($A$4:$A$802,A615,$D$4:$D$802))/(SUMIF($C$4:$C$802,C615,$D$4:$D$802)/SUM($D$4:$D$802))</x:f>
        <x:v>0.7732289607339352</x:v>
      </x:c>
    </x:row>
    <x:row r="616">
      <x:c r="A616" s="101" t="str">
        <x:v>香川県</x:v>
      </x:c>
      <x:c r="B616" s="101" t="str">
        <x:v>AB</x:v>
      </x:c>
      <x:c r="C616" s="101" t="str">
        <x:v>農林漁業</x:v>
      </x:c>
      <x:c r="D616" s="102" t="n">
        <x:v>5543</x:v>
      </x:c>
      <x:c r="E616" s="102" t="n">
        <x:f>1+COUNTIFS($C$4:$C$802,C616,$D$4:$D$802,"&gt;"&amp;D616)</x:f>
        <x:v>37</x:v>
      </x:c>
      <x:c r="F616" s="102" t="n">
        <x:v>950244</x:v>
      </x:c>
      <x:c r="G616" s="126" t="n">
        <x:f>D616/F616*10000</x:f>
        <x:v>58.3323862081739</x:v>
      </x:c>
      <x:c r="H616" s="127" t="n">
        <x:f>1+COUNTIFS($C$4:$C$802,C616,$G$4:$G$802,"&gt;"&amp;G616)</x:f>
        <x:v>20</x:v>
      </x:c>
      <x:c r="I616" s="128" t="n">
        <x:f>D616/SUMIF($C$4:$C$802,C616,$D$4:$D$802)</x:f>
        <x:v>0.012217243438989825</x:v>
      </x:c>
      <x:c r="J616" s="103" t="n">
        <x:f>(D616/SUMIF($A$4:$A$802,A616,$D$4:$D$802))/(SUMIF($C$4:$C$802,C616,$D$4:$D$802)/SUM($D$4:$D$802))</x:f>
        <x:v>1.6401258813478166</x:v>
      </x:c>
    </x:row>
    <x:row r="617">
      <x:c r="A617" s="101" t="str">
        <x:v>香川県</x:v>
      </x:c>
      <x:c r="B617" s="101" t="str">
        <x:v>C</x:v>
      </x:c>
      <x:c r="C617" s="101" t="str">
        <x:v>鉱業，採石業，砂利採取業</x:v>
      </x:c>
      <x:c r="D617" s="102" t="n">
        <x:v>164</x:v>
      </x:c>
      <x:c r="E617" s="102" t="n">
        <x:f>1+COUNTIFS($C$4:$C$802,C617,$D$4:$D$802,"&gt;"&amp;D617)</x:f>
        <x:v>36</x:v>
      </x:c>
      <x:c r="F617" s="102" t="n">
        <x:v>950244</x:v>
      </x:c>
      <x:c r="G617" s="126" t="n">
        <x:f>D617/F617*10000</x:f>
        <x:v>1.7258725127440953</x:v>
      </x:c>
      <x:c r="H617" s="127" t="n">
        <x:f>1+COUNTIFS($C$4:$C$802,C617,$G$4:$G$802,"&gt;"&amp;G617)</x:f>
        <x:v>24</x:v>
      </x:c>
      <x:c r="I617" s="128" t="n">
        <x:f>D617/SUMIF($C$4:$C$802,C617,$D$4:$D$802)</x:f>
        <x:v>0.008326141036706097</x:v>
      </x:c>
      <x:c r="J617" s="103" t="n">
        <x:f>(D617/SUMIF($A$4:$A$802,A617,$D$4:$D$802))/(SUMIF($C$4:$C$802,C617,$D$4:$D$802)/SUM($D$4:$D$802))</x:f>
        <x:v>1.1177578210869261</x:v>
      </x:c>
    </x:row>
    <x:row r="618">
      <x:c r="A618" s="101" t="str">
        <x:v>香川県</x:v>
      </x:c>
      <x:c r="B618" s="101" t="str">
        <x:v>D</x:v>
      </x:c>
      <x:c r="C618" s="101" t="str">
        <x:v>建設業</x:v>
      </x:c>
      <x:c r="D618" s="102" t="n">
        <x:v>31485</x:v>
      </x:c>
      <x:c r="E618" s="102" t="n">
        <x:f>1+COUNTIFS($C$4:$C$802,C618,$D$4:$D$802,"&gt;"&amp;D618)</x:f>
        <x:v>38</x:v>
      </x:c>
      <x:c r="F618" s="102" t="n">
        <x:v>950244</x:v>
      </x:c>
      <x:c r="G618" s="126" t="n">
        <x:f>D618/F618*10000</x:f>
        <x:v>331.3359516082185</x:v>
      </x:c>
      <x:c r="H618" s="127" t="n">
        <x:f>1+COUNTIFS($C$4:$C$802,C618,$G$4:$G$802,"&gt;"&amp;G618)</x:f>
        <x:v>15</x:v>
      </x:c>
      <x:c r="I618" s="128" t="n">
        <x:f>D618/SUMIF($C$4:$C$802,C618,$D$4:$D$802)</x:f>
        <x:v>0.00842427185634991</x:v>
      </x:c>
      <x:c r="J618" s="103" t="n">
        <x:f>(D618/SUMIF($A$4:$A$802,A618,$D$4:$D$802))/(SUMIF($C$4:$C$802,C618,$D$4:$D$802)/SUM($D$4:$D$802))</x:f>
        <x:v>1.1309315699656668</x:v>
      </x:c>
    </x:row>
    <x:row r="619">
      <x:c r="A619" s="101" t="str">
        <x:v>香川県</x:v>
      </x:c>
      <x:c r="B619" s="101" t="str">
        <x:v>E</x:v>
      </x:c>
      <x:c r="C619" s="101" t="str">
        <x:v>製造業</x:v>
      </x:c>
      <x:c r="D619" s="102" t="n">
        <x:v>77328</x:v>
      </x:c>
      <x:c r="E619" s="102" t="n">
        <x:f>1+COUNTIFS($C$4:$C$802,C619,$D$4:$D$802,"&gt;"&amp;D619)</x:f>
        <x:v>34</x:v>
      </x:c>
      <x:c r="F619" s="102" t="n">
        <x:v>950244</x:v>
      </x:c>
      <x:c r="G619" s="126" t="n">
        <x:f>D619/F619*10000</x:f>
        <x:v>813.769936984606</x:v>
      </x:c>
      <x:c r="H619" s="127" t="n">
        <x:f>1+COUNTIFS($C$4:$C$802,C619,$G$4:$G$802,"&gt;"&amp;G619)</x:f>
        <x:v>20</x:v>
      </x:c>
      <x:c r="I619" s="128" t="n">
        <x:f>D619/SUMIF($C$4:$C$802,C619,$D$4:$D$802)</x:f>
        <x:v>0.008783636501389254</x:v>
      </x:c>
      <x:c r="J619" s="103" t="n">
        <x:f>(D619/SUMIF($A$4:$A$802,A619,$D$4:$D$802))/(SUMIF($C$4:$C$802,C619,$D$4:$D$802)/SUM($D$4:$D$802))</x:f>
        <x:v>1.1791751249143545</x:v>
      </x:c>
    </x:row>
    <x:row r="620">
      <x:c r="A620" s="101" t="str">
        <x:v>香川県</x:v>
      </x:c>
      <x:c r="B620" s="101" t="str">
        <x:v>F</x:v>
      </x:c>
      <x:c r="C620" s="101" t="str">
        <x:v>電気・ガス・熱供給・水道業</x:v>
      </x:c>
      <x:c r="D620" s="102" t="n">
        <x:v>3491</x:v>
      </x:c>
      <x:c r="E620" s="102" t="n">
        <x:f>1+COUNTIFS($C$4:$C$802,C620,$D$4:$D$802,"&gt;"&amp;D620)</x:f>
        <x:v>18</x:v>
      </x:c>
      <x:c r="F620" s="102" t="n">
        <x:v>950244</x:v>
      </x:c>
      <x:c r="G620" s="126" t="n">
        <x:f>D620/F620*10000</x:f>
        <x:v>36.737932573107535</x:v>
      </x:c>
      <x:c r="H620" s="127" t="n">
        <x:f>1+COUNTIFS($C$4:$C$802,C620,$G$4:$G$802,"&gt;"&amp;G620)</x:f>
        <x:v>3</x:v>
      </x:c>
      <x:c r="I620" s="128" t="n">
        <x:f>D620/SUMIF($C$4:$C$802,C620,$D$4:$D$802)</x:f>
        <x:v>0.017269439868611767</x:v>
      </x:c>
      <x:c r="J620" s="103" t="n">
        <x:f>(D620/SUMIF($A$4:$A$802,A620,$D$4:$D$802))/(SUMIF($C$4:$C$802,C620,$D$4:$D$802)/SUM($D$4:$D$802))</x:f>
        <x:v>2.31836710353968</x:v>
      </x:c>
    </x:row>
    <x:row r="621">
      <x:c r="A621" s="101" t="str">
        <x:v>香川県</x:v>
      </x:c>
      <x:c r="B621" s="101" t="str">
        <x:v>G</x:v>
      </x:c>
      <x:c r="C621" s="101" t="str">
        <x:v>情報通信業</x:v>
      </x:c>
      <x:c r="D621" s="102" t="n">
        <x:v>6391</x:v>
      </x:c>
      <x:c r="E621" s="102" t="n">
        <x:f>1+COUNTIFS($C$4:$C$802,C621,$D$4:$D$802,"&gt;"&amp;D621)</x:f>
        <x:v>28</x:v>
      </x:c>
      <x:c r="F621" s="102" t="n">
        <x:v>950244</x:v>
      </x:c>
      <x:c r="G621" s="126" t="n">
        <x:f>D621/F621*10000</x:f>
        <x:v>67.25640993260679</x:v>
      </x:c>
      <x:c r="H621" s="127" t="n">
        <x:f>1+COUNTIFS($C$4:$C$802,C621,$G$4:$G$802,"&gt;"&amp;G621)</x:f>
        <x:v>14</x:v>
      </x:c>
      <x:c r="I621" s="128" t="n">
        <x:f>D621/SUMIF($C$4:$C$802,C621,$D$4:$D$802)</x:f>
        <x:v>0.0032166672790296547</x:v>
      </x:c>
      <x:c r="J621" s="103" t="n">
        <x:f>(D621/SUMIF($A$4:$A$802,A621,$D$4:$D$802))/(SUMIF($C$4:$C$802,C621,$D$4:$D$802)/SUM($D$4:$D$802))</x:f>
        <x:v>0.4318273006809642</x:v>
      </x:c>
    </x:row>
    <x:row r="622">
      <x:c r="A622" s="101" t="str">
        <x:v>香川県</x:v>
      </x:c>
      <x:c r="B622" s="101" t="str">
        <x:v>H</x:v>
      </x:c>
      <x:c r="C622" s="101" t="str">
        <x:v>運輸業，郵便業</x:v>
      </x:c>
      <x:c r="D622" s="102" t="n">
        <x:v>25348</x:v>
      </x:c>
      <x:c r="E622" s="102" t="n">
        <x:f>1+COUNTIFS($C$4:$C$802,C622,$D$4:$D$802,"&gt;"&amp;D622)</x:f>
        <x:v>32</x:v>
      </x:c>
      <x:c r="F622" s="102" t="n">
        <x:v>950244</x:v>
      </x:c>
      <x:c r="G622" s="126" t="n">
        <x:f>D622/F622*10000</x:f>
        <x:v>266.75253934778857</x:v>
      </x:c>
      <x:c r="H622" s="127" t="n">
        <x:f>1+COUNTIFS($C$4:$C$802,C622,$G$4:$G$802,"&gt;"&amp;G622)</x:f>
        <x:v>10</x:v>
      </x:c>
      <x:c r="I622" s="128" t="n">
        <x:f>D622/SUMIF($C$4:$C$802,C622,$D$4:$D$802)</x:f>
        <x:v>0.007764185382331302</x:v>
      </x:c>
      <x:c r="J622" s="103" t="n">
        <x:f>(D622/SUMIF($A$4:$A$802,A622,$D$4:$D$802))/(SUMIF($C$4:$C$802,C622,$D$4:$D$802)/SUM($D$4:$D$802))</x:f>
        <x:v>1.0423170706825897</x:v>
      </x:c>
    </x:row>
    <x:row r="623">
      <x:c r="A623" s="101" t="str">
        <x:v>香川県</x:v>
      </x:c>
      <x:c r="B623" s="101" t="str">
        <x:v>I</x:v>
      </x:c>
      <x:c r="C623" s="101" t="str">
        <x:v>卸売業，小売業</x:v>
      </x:c>
      <x:c r="D623" s="102" t="n">
        <x:v>89793</x:v>
      </x:c>
      <x:c r="E623" s="102" t="n">
        <x:f>1+COUNTIFS($C$4:$C$802,C623,$D$4:$D$802,"&gt;"&amp;D623)</x:f>
        <x:v>38</x:v>
      </x:c>
      <x:c r="F623" s="102" t="n">
        <x:v>950244</x:v>
      </x:c>
      <x:c r="G623" s="126" t="n">
        <x:f>D623/F623*10000</x:f>
        <x:v>944.94677156604</x:v>
      </x:c>
      <x:c r="H623" s="127" t="n">
        <x:f>1+COUNTIFS($C$4:$C$802,C623,$G$4:$G$802,"&gt;"&amp;G623)</x:f>
        <x:v>7</x:v>
      </x:c>
      <x:c r="I623" s="128" t="n">
        <x:f>D623/SUMIF($C$4:$C$802,C623,$D$4:$D$802)</x:f>
        <x:v>0.007732827049160845</x:v>
      </x:c>
      <x:c r="J623" s="103" t="n">
        <x:f>(D623/SUMIF($A$4:$A$802,A623,$D$4:$D$802))/(SUMIF($C$4:$C$802,C623,$D$4:$D$802)/SUM($D$4:$D$802))</x:f>
        <x:v>1.0381073146860238</x:v>
      </x:c>
    </x:row>
    <x:row r="624">
      <x:c r="A624" s="101" t="str">
        <x:v>香川県</x:v>
      </x:c>
      <x:c r="B624" s="101" t="str">
        <x:v>J</x:v>
      </x:c>
      <x:c r="C624" s="101" t="str">
        <x:v>金融業，保険業</x:v>
      </x:c>
      <x:c r="D624" s="102" t="n">
        <x:v>11419</x:v>
      </x:c>
      <x:c r="E624" s="102" t="n">
        <x:f>1+COUNTIFS($C$4:$C$802,C624,$D$4:$D$802,"&gt;"&amp;D624)</x:f>
        <x:v>35</x:v>
      </x:c>
      <x:c r="F624" s="102" t="n">
        <x:v>950244</x:v>
      </x:c>
      <x:c r="G624" s="126" t="n">
        <x:f>D624/F624*10000</x:f>
        <x:v>120.16913550624892</x:v>
      </x:c>
      <x:c r="H624" s="127" t="n">
        <x:f>1+COUNTIFS($C$4:$C$802,C624,$G$4:$G$802,"&gt;"&amp;G624)</x:f>
        <x:v>3</x:v>
      </x:c>
      <x:c r="I624" s="128" t="n">
        <x:f>D624/SUMIF($C$4:$C$802,C624,$D$4:$D$802)</x:f>
        <x:v>0.007641009718716626</x:v>
      </x:c>
      <x:c r="J624" s="103" t="n">
        <x:f>(D624/SUMIF($A$4:$A$802,A624,$D$4:$D$802))/(SUMIF($C$4:$C$802,C624,$D$4:$D$802)/SUM($D$4:$D$802))</x:f>
        <x:v>1.0257811315523364</x:v>
      </x:c>
    </x:row>
    <x:row r="625">
      <x:c r="A625" s="101" t="str">
        <x:v>香川県</x:v>
      </x:c>
      <x:c r="B625" s="101" t="str">
        <x:v>K</x:v>
      </x:c>
      <x:c r="C625" s="101" t="str">
        <x:v>不動産業，物品賃貸業</x:v>
      </x:c>
      <x:c r="D625" s="102" t="n">
        <x:v>10799</x:v>
      </x:c>
      <x:c r="E625" s="102" t="n">
        <x:f>1+COUNTIFS($C$4:$C$802,C625,$D$4:$D$802,"&gt;"&amp;D625)</x:f>
        <x:v>32</x:v>
      </x:c>
      <x:c r="F625" s="102" t="n">
        <x:v>950244</x:v>
      </x:c>
      <x:c r="G625" s="126" t="n">
        <x:f>D625/F625*10000</x:f>
        <x:v>113.64449551904565</x:v>
      </x:c>
      <x:c r="H625" s="127" t="n">
        <x:f>1+COUNTIFS($C$4:$C$802,C625,$G$4:$G$802,"&gt;"&amp;G625)</x:f>
        <x:v>11</x:v>
      </x:c>
      <x:c r="I625" s="128" t="n">
        <x:f>D625/SUMIF($C$4:$C$802,C625,$D$4:$D$802)</x:f>
        <x:v>0.006673720041183138</x:v>
      </x:c>
      <x:c r="J625" s="103" t="n">
        <x:f>(D625/SUMIF($A$4:$A$802,A625,$D$4:$D$802))/(SUMIF($C$4:$C$802,C625,$D$4:$D$802)/SUM($D$4:$D$802))</x:f>
        <x:v>0.8959255841200725</x:v>
      </x:c>
    </x:row>
    <x:row r="626">
      <x:c r="A626" s="101" t="str">
        <x:v>香川県</x:v>
      </x:c>
      <x:c r="B626" s="101" t="str">
        <x:v>L</x:v>
      </x:c>
      <x:c r="C626" s="101" t="str">
        <x:v>学術研究，専門・技術サービス業</x:v>
      </x:c>
      <x:c r="D626" s="102" t="n">
        <x:v>10851</x:v>
      </x:c>
      <x:c r="E626" s="102" t="n">
        <x:f>1+COUNTIFS($C$4:$C$802,C626,$D$4:$D$802,"&gt;"&amp;D626)</x:f>
        <x:v>34</x:v>
      </x:c>
      <x:c r="F626" s="102" t="n">
        <x:v>950244</x:v>
      </x:c>
      <x:c r="G626" s="126" t="n">
        <x:f>D626/F626*10000</x:f>
        <x:v>114.1917233889401</x:v>
      </x:c>
      <x:c r="H626" s="127" t="n">
        <x:f>1+COUNTIFS($C$4:$C$802,C626,$G$4:$G$802,"&gt;"&amp;G626)</x:f>
        <x:v>19</x:v>
      </x:c>
      <x:c r="I626" s="128" t="n">
        <x:f>D626/SUMIF($C$4:$C$802,C626,$D$4:$D$802)</x:f>
        <x:v>0.005121005040303551</x:v>
      </x:c>
      <x:c r="J626" s="103" t="n">
        <x:f>(D626/SUMIF($A$4:$A$802,A626,$D$4:$D$802))/(SUMIF($C$4:$C$802,C626,$D$4:$D$802)/SUM($D$4:$D$802))</x:f>
        <x:v>0.6874785582408717</x:v>
      </x:c>
    </x:row>
    <x:row r="627">
      <x:c r="A627" s="101" t="str">
        <x:v>香川県</x:v>
      </x:c>
      <x:c r="B627" s="101" t="str">
        <x:v>M</x:v>
      </x:c>
      <x:c r="C627" s="101" t="str">
        <x:v>宿泊業，飲食サービス業</x:v>
      </x:c>
      <x:c r="D627" s="102" t="n">
        <x:v>33326</x:v>
      </x:c>
      <x:c r="E627" s="102" t="n">
        <x:f>1+COUNTIFS($C$4:$C$802,C627,$D$4:$D$802,"&gt;"&amp;D627)</x:f>
        <x:v>40</x:v>
      </x:c>
      <x:c r="F627" s="102" t="n">
        <x:v>950244</x:v>
      </x:c>
      <x:c r="G627" s="126" t="n">
        <x:f>D627/F627*10000</x:f>
        <x:v>350.70992292505923</x:v>
      </x:c>
      <x:c r="H627" s="127" t="n">
        <x:f>1+COUNTIFS($C$4:$C$802,C627,$G$4:$G$802,"&gt;"&amp;G627)</x:f>
        <x:v>21</x:v>
      </x:c>
      <x:c r="I627" s="128" t="n">
        <x:f>D627/SUMIF($C$4:$C$802,C627,$D$4:$D$802)</x:f>
        <x:v>0.0071228593858302415</x:v>
      </x:c>
      <x:c r="J627" s="103" t="n">
        <x:f>(D627/SUMIF($A$4:$A$802,A627,$D$4:$D$802))/(SUMIF($C$4:$C$802,C627,$D$4:$D$802)/SUM($D$4:$D$802))</x:f>
        <x:v>0.9562211055415744</x:v>
      </x:c>
    </x:row>
    <x:row r="628">
      <x:c r="A628" s="101" t="str">
        <x:v>香川県</x:v>
      </x:c>
      <x:c r="B628" s="101" t="str">
        <x:v>N</x:v>
      </x:c>
      <x:c r="C628" s="101" t="str">
        <x:v>生活関連サービス業，娯楽業</x:v>
      </x:c>
      <x:c r="D628" s="102" t="n">
        <x:v>15986</x:v>
      </x:c>
      <x:c r="E628" s="102" t="n">
        <x:f>1+COUNTIFS($C$4:$C$802,C628,$D$4:$D$802,"&gt;"&amp;D628)</x:f>
        <x:v>40</x:v>
      </x:c>
      <x:c r="F628" s="102" t="n">
        <x:v>950244</x:v>
      </x:c>
      <x:c r="G628" s="126" t="n">
        <x:f>D628/F628*10000</x:f>
        <x:v>168.23047554101893</x:v>
      </x:c>
      <x:c r="H628" s="127" t="n">
        <x:f>1+COUNTIFS($C$4:$C$802,C628,$G$4:$G$802,"&gt;"&amp;G628)</x:f>
        <x:v>23</x:v>
      </x:c>
      <x:c r="I628" s="128" t="n">
        <x:f>D628/SUMIF($C$4:$C$802,C628,$D$4:$D$802)</x:f>
        <x:v>0.00734603809775019</x:v>
      </x:c>
      <x:c r="J628" s="103" t="n">
        <x:f>(D628/SUMIF($A$4:$A$802,A628,$D$4:$D$802))/(SUMIF($C$4:$C$802,C628,$D$4:$D$802)/SUM($D$4:$D$802))</x:f>
        <x:v>0.9861821342641091</x:v>
      </x:c>
    </x:row>
    <x:row r="629">
      <x:c r="A629" s="101" t="str">
        <x:v>香川県</x:v>
      </x:c>
      <x:c r="B629" s="101" t="str">
        <x:v>O</x:v>
      </x:c>
      <x:c r="C629" s="101" t="str">
        <x:v>教育，学習支援業</x:v>
      </x:c>
      <x:c r="D629" s="102" t="n">
        <x:v>11597</x:v>
      </x:c>
      <x:c r="E629" s="102" t="n">
        <x:f>1+COUNTIFS($C$4:$C$802,C629,$D$4:$D$802,"&gt;"&amp;D629)</x:f>
        <x:v>39</x:v>
      </x:c>
      <x:c r="F629" s="102" t="n">
        <x:v>950244</x:v>
      </x:c>
      <x:c r="G629" s="126" t="n">
        <x:f>D629/F629*10000</x:f>
        <x:v>122.04233859934922</x:v>
      </x:c>
      <x:c r="H629" s="127" t="n">
        <x:f>1+COUNTIFS($C$4:$C$802,C629,$G$4:$G$802,"&gt;"&amp;G629)</x:f>
        <x:v>33</x:v>
      </x:c>
      <x:c r="I629" s="128" t="n">
        <x:f>D629/SUMIF($C$4:$C$802,C629,$D$4:$D$802)</x:f>
        <x:v>0.005944941750130976</x:v>
      </x:c>
      <x:c r="J629" s="103" t="n">
        <x:f>(D629/SUMIF($A$4:$A$802,A629,$D$4:$D$802))/(SUMIF($C$4:$C$802,C629,$D$4:$D$802)/SUM($D$4:$D$802))</x:f>
        <x:v>0.7980894279619273</x:v>
      </x:c>
    </x:row>
    <x:row r="630">
      <x:c r="A630" s="101" t="str">
        <x:v>香川県</x:v>
      </x:c>
      <x:c r="B630" s="101" t="str">
        <x:v>P</x:v>
      </x:c>
      <x:c r="C630" s="101" t="str">
        <x:v>医療，福祉</x:v>
      </x:c>
      <x:c r="D630" s="102" t="n">
        <x:v>60732</x:v>
      </x:c>
      <x:c r="E630" s="102" t="n">
        <x:f>1+COUNTIFS($C$4:$C$802,C630,$D$4:$D$802,"&gt;"&amp;D630)</x:f>
        <x:v>41</x:v>
      </x:c>
      <x:c r="F630" s="102" t="n">
        <x:v>950244</x:v>
      </x:c>
      <x:c r="G630" s="126" t="n">
        <x:f>D630/F630*10000</x:f>
        <x:v>639.1200575852098</x:v>
      </x:c>
      <x:c r="H630" s="127" t="n">
        <x:f>1+COUNTIFS($C$4:$C$802,C630,$G$4:$G$802,"&gt;"&amp;G630)</x:f>
        <x:v>25</x:v>
      </x:c>
      <x:c r="I630" s="128" t="n">
        <x:f>D630/SUMIF($C$4:$C$802,C630,$D$4:$D$802)</x:f>
        <x:v>0.007440460511727068</x:v>
      </x:c>
      <x:c r="J630" s="103" t="n">
        <x:f>(D630/SUMIF($A$4:$A$802,A630,$D$4:$D$802))/(SUMIF($C$4:$C$802,C630,$D$4:$D$802)/SUM($D$4:$D$802))</x:f>
        <x:v>0.9988580415353505</x:v>
      </x:c>
    </x:row>
    <x:row r="631">
      <x:c r="A631" s="101" t="str">
        <x:v>香川県</x:v>
      </x:c>
      <x:c r="B631" s="101" t="str">
        <x:v>Q</x:v>
      </x:c>
      <x:c r="C631" s="101" t="str">
        <x:v>複合サービス事業</x:v>
      </x:c>
      <x:c r="D631" s="102" t="n">
        <x:v>4920</x:v>
      </x:c>
      <x:c r="E631" s="102" t="n">
        <x:f>1+COUNTIFS($C$4:$C$802,C631,$D$4:$D$802,"&gt;"&amp;D631)</x:f>
        <x:v>36</x:v>
      </x:c>
      <x:c r="F631" s="102" t="n">
        <x:v>950244</x:v>
      </x:c>
      <x:c r="G631" s="126" t="n">
        <x:f>D631/F631*10000</x:f>
        <x:v>51.776175382322855</x:v>
      </x:c>
      <x:c r="H631" s="127" t="n">
        <x:f>1+COUNTIFS($C$4:$C$802,C631,$G$4:$G$802,"&gt;"&amp;G631)</x:f>
        <x:v>13</x:v>
      </x:c>
      <x:c r="I631" s="128" t="n">
        <x:f>D631/SUMIF($C$4:$C$802,C631,$D$4:$D$802)</x:f>
        <x:v>0.01128518017294768</x:v>
      </x:c>
      <x:c r="J631" s="103" t="n">
        <x:f>(D631/SUMIF($A$4:$A$802,A631,$D$4:$D$802))/(SUMIF($C$4:$C$802,C631,$D$4:$D$802)/SUM($D$4:$D$802))</x:f>
        <x:v>1.5149993670630446</x:v>
      </x:c>
    </x:row>
    <x:row r="632">
      <x:c r="A632" s="101" t="str">
        <x:v>香川県</x:v>
      </x:c>
      <x:c r="B632" s="101" t="str">
        <x:v>R</x:v>
      </x:c>
      <x:c r="C632" s="101" t="str">
        <x:v>サービス業（他に分類されないもの）</x:v>
      </x:c>
      <x:c r="D632" s="102" t="n">
        <x:v>32494</x:v>
      </x:c>
      <x:c r="E632" s="102" t="n">
        <x:f>1+COUNTIFS($C$4:$C$802,C632,$D$4:$D$802,"&gt;"&amp;D632)</x:f>
        <x:v>36</x:v>
      </x:c>
      <x:c r="F632" s="102" t="n">
        <x:v>950244</x:v>
      </x:c>
      <x:c r="G632" s="126" t="n">
        <x:f>D632/F632*10000</x:f>
        <x:v>341.95427700674776</x:v>
      </x:c>
      <x:c r="H632" s="127" t="n">
        <x:f>1+COUNTIFS($C$4:$C$802,C632,$G$4:$G$802,"&gt;"&amp;G632)</x:f>
        <x:v>22</x:v>
      </x:c>
      <x:c r="I632" s="128" t="n">
        <x:f>D632/SUMIF($C$4:$C$802,C632,$D$4:$D$802)</x:f>
        <x:v>0.006207854022390992</x:v>
      </x:c>
      <x:c r="J632" s="103" t="n">
        <x:f>(D632/SUMIF($A$4:$A$802,A632,$D$4:$D$802))/(SUMIF($C$4:$C$802,C632,$D$4:$D$802)/SUM($D$4:$D$802))</x:f>
        <x:v>0.8333845601585623</x:v>
      </x:c>
    </x:row>
    <x:row r="633">
      <x:c r="A633" s="101" t="str">
        <x:v>愛媛県</x:v>
      </x:c>
      <x:c r="B633" s="101" t="str">
        <x:v>AB</x:v>
      </x:c>
      <x:c r="C633" s="101" t="str">
        <x:v>農林漁業</x:v>
      </x:c>
      <x:c r="D633" s="102" t="n">
        <x:v>7077</x:v>
      </x:c>
      <x:c r="E633" s="102" t="n">
        <x:f>1+COUNTIFS($C$4:$C$802,C633,$D$4:$D$802,"&gt;"&amp;D633)</x:f>
        <x:v>32</x:v>
      </x:c>
      <x:c r="F633" s="102" t="n">
        <x:v>1334841</x:v>
      </x:c>
      <x:c r="G633" s="126" t="n">
        <x:f>D633/F633*10000</x:f>
        <x:v>53.01755040487968</x:v>
      </x:c>
      <x:c r="H633" s="127" t="n">
        <x:f>1+COUNTIFS($C$4:$C$802,C633,$G$4:$G$802,"&gt;"&amp;G633)</x:f>
        <x:v>22</x:v>
      </x:c>
      <x:c r="I633" s="128" t="n">
        <x:f>D633/SUMIF($C$4:$C$802,C633,$D$4:$D$802)</x:f>
        <x:v>0.015598309907582713</x:v>
      </x:c>
      <x:c r="J633" s="103" t="n">
        <x:f>(D633/SUMIF($A$4:$A$802,A633,$D$4:$D$802))/(SUMIF($C$4:$C$802,C633,$D$4:$D$802)/SUM($D$4:$D$802))</x:f>
        <x:v>1.6063590621311643</x:v>
      </x:c>
    </x:row>
    <x:row r="634">
      <x:c r="A634" s="101" t="str">
        <x:v>愛媛県</x:v>
      </x:c>
      <x:c r="B634" s="101" t="str">
        <x:v>C</x:v>
      </x:c>
      <x:c r="C634" s="101" t="str">
        <x:v>鉱業，採石業，砂利採取業</x:v>
      </x:c>
      <x:c r="D634" s="102" t="n">
        <x:v>166</x:v>
      </x:c>
      <x:c r="E634" s="102" t="n">
        <x:f>1+COUNTIFS($C$4:$C$802,C634,$D$4:$D$802,"&gt;"&amp;D634)</x:f>
        <x:v>35</x:v>
      </x:c>
      <x:c r="F634" s="102" t="n">
        <x:v>1334841</x:v>
      </x:c>
      <x:c r="G634" s="126" t="n">
        <x:f>D634/F634*10000</x:f>
        <x:v>1.2435938063035223</x:v>
      </x:c>
      <x:c r="H634" s="127" t="n">
        <x:f>1+COUNTIFS($C$4:$C$802,C634,$G$4:$G$802,"&gt;"&amp;G634)</x:f>
        <x:v>31</x:v>
      </x:c>
      <x:c r="I634" s="128" t="n">
        <x:f>D634/SUMIF($C$4:$C$802,C634,$D$4:$D$802)</x:f>
        <x:v>0.008427679342031782</x:v>
      </x:c>
      <x:c r="J634" s="103" t="n">
        <x:f>(D634/SUMIF($A$4:$A$802,A634,$D$4:$D$802))/(SUMIF($C$4:$C$802,C634,$D$4:$D$802)/SUM($D$4:$D$802))</x:f>
        <x:v>0.8679067901598284</x:v>
      </x:c>
    </x:row>
    <x:row r="635">
      <x:c r="A635" s="101" t="str">
        <x:v>愛媛県</x:v>
      </x:c>
      <x:c r="B635" s="101" t="str">
        <x:v>D</x:v>
      </x:c>
      <x:c r="C635" s="101" t="str">
        <x:v>建設業</x:v>
      </x:c>
      <x:c r="D635" s="102" t="n">
        <x:v>42054</x:v>
      </x:c>
      <x:c r="E635" s="102" t="n">
        <x:f>1+COUNTIFS($C$4:$C$802,C635,$D$4:$D$802,"&gt;"&amp;D635)</x:f>
        <x:v>29</x:v>
      </x:c>
      <x:c r="F635" s="102" t="n">
        <x:v>1334841</x:v>
      </x:c>
      <x:c r="G635" s="126" t="n">
        <x:f>D635/F635*10000</x:f>
        <x:v>315.04875861619473</x:v>
      </x:c>
      <x:c r="H635" s="127" t="n">
        <x:f>1+COUNTIFS($C$4:$C$802,C635,$G$4:$G$802,"&gt;"&amp;G635)</x:f>
        <x:v>23</x:v>
      </x:c>
      <x:c r="I635" s="128" t="n">
        <x:f>D635/SUMIF($C$4:$C$802,C635,$D$4:$D$802)</x:f>
        <x:v>0.011252162256532925</x:v>
      </x:c>
      <x:c r="J635" s="103" t="n">
        <x:f>(D635/SUMIF($A$4:$A$802,A635,$D$4:$D$802))/(SUMIF($C$4:$C$802,C635,$D$4:$D$802)/SUM($D$4:$D$802))</x:f>
        <x:v>1.158780208653581</x:v>
      </x:c>
    </x:row>
    <x:row r="636">
      <x:c r="A636" s="101" t="str">
        <x:v>愛媛県</x:v>
      </x:c>
      <x:c r="B636" s="101" t="str">
        <x:v>E</x:v>
      </x:c>
      <x:c r="C636" s="101" t="str">
        <x:v>製造業</x:v>
      </x:c>
      <x:c r="D636" s="102" t="n">
        <x:v>91837</x:v>
      </x:c>
      <x:c r="E636" s="102" t="n">
        <x:f>1+COUNTIFS($C$4:$C$802,C636,$D$4:$D$802,"&gt;"&amp;D636)</x:f>
        <x:v>29</x:v>
      </x:c>
      <x:c r="F636" s="102" t="n">
        <x:v>1334841</x:v>
      </x:c>
      <x:c r="G636" s="126" t="n">
        <x:f>D636/F636*10000</x:f>
        <x:v>687.9995445150396</x:v>
      </x:c>
      <x:c r="H636" s="127" t="n">
        <x:f>1+COUNTIFS($C$4:$C$802,C636,$G$4:$G$802,"&gt;"&amp;G636)</x:f>
        <x:v>26</x:v>
      </x:c>
      <x:c r="I636" s="128" t="n">
        <x:f>D636/SUMIF($C$4:$C$802,C636,$D$4:$D$802)</x:f>
        <x:v>0.010431704238802051</x:v>
      </x:c>
      <x:c r="J636" s="103" t="n">
        <x:f>(D636/SUMIF($A$4:$A$802,A636,$D$4:$D$802))/(SUMIF($C$4:$C$802,C636,$D$4:$D$802)/SUM($D$4:$D$802))</x:f>
        <x:v>1.0742870693526703</x:v>
      </x:c>
    </x:row>
    <x:row r="637">
      <x:c r="A637" s="101" t="str">
        <x:v>愛媛県</x:v>
      </x:c>
      <x:c r="B637" s="101" t="str">
        <x:v>F</x:v>
      </x:c>
      <x:c r="C637" s="101" t="str">
        <x:v>電気・ガス・熱供給・水道業</x:v>
      </x:c>
      <x:c r="D637" s="102" t="n">
        <x:v>1995</x:v>
      </x:c>
      <x:c r="E637" s="102" t="n">
        <x:f>1+COUNTIFS($C$4:$C$802,C637,$D$4:$D$802,"&gt;"&amp;D637)</x:f>
        <x:v>28</x:v>
      </x:c>
      <x:c r="F637" s="102" t="n">
        <x:v>1334841</x:v>
      </x:c>
      <x:c r="G637" s="126" t="n">
        <x:f>D637/F637*10000</x:f>
        <x:v>14.945600262503175</x:v>
      </x:c>
      <x:c r="H637" s="127" t="n">
        <x:f>1+COUNTIFS($C$4:$C$802,C637,$G$4:$G$802,"&gt;"&amp;G637)</x:f>
        <x:v>25</x:v>
      </x:c>
      <x:c r="I637" s="128" t="n">
        <x:f>D637/SUMIF($C$4:$C$802,C637,$D$4:$D$802)</x:f>
        <x:v>0.0098689580457979</x:v>
      </x:c>
      <x:c r="J637" s="103" t="n">
        <x:f>(D637/SUMIF($A$4:$A$802,A637,$D$4:$D$802))/(SUMIF($C$4:$C$802,C637,$D$4:$D$802)/SUM($D$4:$D$802))</x:f>
        <x:v>1.016333839024006</x:v>
      </x:c>
    </x:row>
    <x:row r="638">
      <x:c r="A638" s="101" t="str">
        <x:v>愛媛県</x:v>
      </x:c>
      <x:c r="B638" s="101" t="str">
        <x:v>G</x:v>
      </x:c>
      <x:c r="C638" s="101" t="str">
        <x:v>情報通信業</x:v>
      </x:c>
      <x:c r="D638" s="102" t="n">
        <x:v>8486</x:v>
      </x:c>
      <x:c r="E638" s="102" t="n">
        <x:f>1+COUNTIFS($C$4:$C$802,C638,$D$4:$D$802,"&gt;"&amp;D638)</x:f>
        <x:v>21</x:v>
      </x:c>
      <x:c r="F638" s="102" t="n">
        <x:v>1334841</x:v>
      </x:c>
      <x:c r="G638" s="126" t="n">
        <x:f>D638/F638*10000</x:f>
        <x:v>63.57311470055235</x:v>
      </x:c>
      <x:c r="H638" s="127" t="n">
        <x:f>1+COUNTIFS($C$4:$C$802,C638,$G$4:$G$802,"&gt;"&amp;G638)</x:f>
        <x:v>16</x:v>
      </x:c>
      <x:c r="I638" s="128" t="n">
        <x:f>D638/SUMIF($C$4:$C$802,C638,$D$4:$D$802)</x:f>
        <x:v>0.004271106013119331</x:v>
      </x:c>
      <x:c r="J638" s="103" t="n">
        <x:f>(D638/SUMIF($A$4:$A$802,A638,$D$4:$D$802))/(SUMIF($C$4:$C$802,C638,$D$4:$D$802)/SUM($D$4:$D$802))</x:f>
        <x:v>0.43985084859494195</x:v>
      </x:c>
    </x:row>
    <x:row r="639">
      <x:c r="A639" s="101" t="str">
        <x:v>愛媛県</x:v>
      </x:c>
      <x:c r="B639" s="101" t="str">
        <x:v>H</x:v>
      </x:c>
      <x:c r="C639" s="101" t="str">
        <x:v>運輸業，郵便業</x:v>
      </x:c>
      <x:c r="D639" s="102" t="n">
        <x:v>32515</x:v>
      </x:c>
      <x:c r="E639" s="102" t="n">
        <x:f>1+COUNTIFS($C$4:$C$802,C639,$D$4:$D$802,"&gt;"&amp;D639)</x:f>
        <x:v>24</x:v>
      </x:c>
      <x:c r="F639" s="102" t="n">
        <x:v>1334841</x:v>
      </x:c>
      <x:c r="G639" s="126" t="n">
        <x:f>D639/F639*10000</x:f>
        <x:v>243.58706392746402</x:v>
      </x:c>
      <x:c r="H639" s="127" t="n">
        <x:f>1+COUNTIFS($C$4:$C$802,C639,$G$4:$G$802,"&gt;"&amp;G639)</x:f>
        <x:v>19</x:v>
      </x:c>
      <x:c r="I639" s="128" t="n">
        <x:f>D639/SUMIF($C$4:$C$802,C639,$D$4:$D$802)</x:f>
        <x:v>0.009959463772546247</x:v>
      </x:c>
      <x:c r="J639" s="103" t="n">
        <x:f>(D639/SUMIF($A$4:$A$802,A639,$D$4:$D$802))/(SUMIF($C$4:$C$802,C639,$D$4:$D$802)/SUM($D$4:$D$802))</x:f>
        <x:v>1.0256543804928158</x:v>
      </x:c>
    </x:row>
    <x:row r="640">
      <x:c r="A640" s="101" t="str">
        <x:v>愛媛県</x:v>
      </x:c>
      <x:c r="B640" s="101" t="str">
        <x:v>I</x:v>
      </x:c>
      <x:c r="C640" s="101" t="str">
        <x:v>卸売業，小売業</x:v>
      </x:c>
      <x:c r="D640" s="102" t="n">
        <x:v>114243</x:v>
      </x:c>
      <x:c r="E640" s="102" t="n">
        <x:f>1+COUNTIFS($C$4:$C$802,C640,$D$4:$D$802,"&gt;"&amp;D640)</x:f>
        <x:v>27</x:v>
      </x:c>
      <x:c r="F640" s="102" t="n">
        <x:v>1334841</x:v>
      </x:c>
      <x:c r="G640" s="126" t="n">
        <x:f>D640/F640*10000</x:f>
        <x:v>855.8547422502005</x:v>
      </x:c>
      <x:c r="H640" s="127" t="n">
        <x:f>1+COUNTIFS($C$4:$C$802,C640,$G$4:$G$802,"&gt;"&amp;G640)</x:f>
        <x:v>22</x:v>
      </x:c>
      <x:c r="I640" s="128" t="n">
        <x:f>D640/SUMIF($C$4:$C$802,C640,$D$4:$D$802)</x:f>
        <x:v>0.009838421264210823</x:v>
      </x:c>
      <x:c r="J640" s="103" t="n">
        <x:f>(D640/SUMIF($A$4:$A$802,A640,$D$4:$D$802))/(SUMIF($C$4:$C$802,C640,$D$4:$D$802)/SUM($D$4:$D$802))</x:f>
        <x:v>1.01318907294862</x:v>
      </x:c>
    </x:row>
    <x:row r="641">
      <x:c r="A641" s="101" t="str">
        <x:v>愛媛県</x:v>
      </x:c>
      <x:c r="B641" s="101" t="str">
        <x:v>J</x:v>
      </x:c>
      <x:c r="C641" s="101" t="str">
        <x:v>金融業，保険業</x:v>
      </x:c>
      <x:c r="D641" s="102" t="n">
        <x:v>15308</x:v>
      </x:c>
      <x:c r="E641" s="102" t="n">
        <x:f>1+COUNTIFS($C$4:$C$802,C641,$D$4:$D$802,"&gt;"&amp;D641)</x:f>
        <x:v>24</x:v>
      </x:c>
      <x:c r="F641" s="102" t="n">
        <x:v>1334841</x:v>
      </x:c>
      <x:c r="G641" s="126" t="n">
        <x:f>D641/F641*10000</x:f>
        <x:v>114.68032522225494</x:v>
      </x:c>
      <x:c r="H641" s="127" t="n">
        <x:f>1+COUNTIFS($C$4:$C$802,C641,$G$4:$G$802,"&gt;"&amp;G641)</x:f>
        <x:v>6</x:v>
      </x:c>
      <x:c r="I641" s="128" t="n">
        <x:f>D641/SUMIF($C$4:$C$802,C641,$D$4:$D$802)</x:f>
        <x:v>0.010243329255986875</x:v>
      </x:c>
      <x:c r="J641" s="103" t="n">
        <x:f>(D641/SUMIF($A$4:$A$802,A641,$D$4:$D$802))/(SUMIF($C$4:$C$802,C641,$D$4:$D$802)/SUM($D$4:$D$802))</x:f>
        <x:v>1.0548876688716693</x:v>
      </x:c>
    </x:row>
    <x:row r="642">
      <x:c r="A642" s="101" t="str">
        <x:v>愛媛県</x:v>
      </x:c>
      <x:c r="B642" s="101" t="str">
        <x:v>K</x:v>
      </x:c>
      <x:c r="C642" s="101" t="str">
        <x:v>不動産業，物品賃貸業</x:v>
      </x:c>
      <x:c r="D642" s="102" t="n">
        <x:v>11362</x:v>
      </x:c>
      <x:c r="E642" s="102" t="n">
        <x:f>1+COUNTIFS($C$4:$C$802,C642,$D$4:$D$802,"&gt;"&amp;D642)</x:f>
        <x:v>28</x:v>
      </x:c>
      <x:c r="F642" s="102" t="n">
        <x:v>1334841</x:v>
      </x:c>
      <x:c r="G642" s="126" t="n">
        <x:f>D642/F642*10000</x:f>
        <x:v>85.11875197120857</x:v>
      </x:c>
      <x:c r="H642" s="127" t="n">
        <x:f>1+COUNTIFS($C$4:$C$802,C642,$G$4:$G$802,"&gt;"&amp;G642)</x:f>
        <x:v>27</x:v>
      </x:c>
      <x:c r="I642" s="128" t="n">
        <x:f>D642/SUMIF($C$4:$C$802,C642,$D$4:$D$802)</x:f>
        <x:v>0.007021650810993871</x:v>
      </x:c>
      <x:c r="J642" s="103" t="n">
        <x:f>(D642/SUMIF($A$4:$A$802,A642,$D$4:$D$802))/(SUMIF($C$4:$C$802,C642,$D$4:$D$802)/SUM($D$4:$D$802))</x:f>
        <x:v>0.723109906021133</x:v>
      </x:c>
    </x:row>
    <x:row r="643">
      <x:c r="A643" s="101" t="str">
        <x:v>愛媛県</x:v>
      </x:c>
      <x:c r="B643" s="101" t="str">
        <x:v>L</x:v>
      </x:c>
      <x:c r="C643" s="101" t="str">
        <x:v>学術研究，専門・技術サービス業</x:v>
      </x:c>
      <x:c r="D643" s="102" t="n">
        <x:v>14038</x:v>
      </x:c>
      <x:c r="E643" s="102" t="n">
        <x:f>1+COUNTIFS($C$4:$C$802,C643,$D$4:$D$802,"&gt;"&amp;D643)</x:f>
        <x:v>28</x:v>
      </x:c>
      <x:c r="F643" s="102" t="n">
        <x:v>1334841</x:v>
      </x:c>
      <x:c r="G643" s="126" t="n">
        <x:f>D643/F643*10000</x:f>
        <x:v>105.16608345113762</x:v>
      </x:c>
      <x:c r="H643" s="127" t="n">
        <x:f>1+COUNTIFS($C$4:$C$802,C643,$G$4:$G$802,"&gt;"&amp;G643)</x:f>
        <x:v>26</x:v>
      </x:c>
      <x:c r="I643" s="128" t="n">
        <x:f>D643/SUMIF($C$4:$C$802,C643,$D$4:$D$802)</x:f>
        <x:v>0.006625073150472883</x:v>
      </x:c>
      <x:c r="J643" s="103" t="n">
        <x:f>(D643/SUMIF($A$4:$A$802,A643,$D$4:$D$802))/(SUMIF($C$4:$C$802,C643,$D$4:$D$802)/SUM($D$4:$D$802))</x:f>
        <x:v>0.682269191700732</x:v>
      </x:c>
    </x:row>
    <x:row r="644">
      <x:c r="A644" s="101" t="str">
        <x:v>愛媛県</x:v>
      </x:c>
      <x:c r="B644" s="101" t="str">
        <x:v>M</x:v>
      </x:c>
      <x:c r="C644" s="101" t="str">
        <x:v>宿泊業，飲食サービス業</x:v>
      </x:c>
      <x:c r="D644" s="102" t="n">
        <x:v>43558</x:v>
      </x:c>
      <x:c r="E644" s="102" t="n">
        <x:f>1+COUNTIFS($C$4:$C$802,C644,$D$4:$D$802,"&gt;"&amp;D644)</x:f>
        <x:v>30</x:v>
      </x:c>
      <x:c r="F644" s="102" t="n">
        <x:v>1334841</x:v>
      </x:c>
      <x:c r="G644" s="126" t="n">
        <x:f>D644/F644*10000</x:f>
        <x:v>326.3160181624628</x:v>
      </x:c>
      <x:c r="H644" s="127" t="n">
        <x:f>1+COUNTIFS($C$4:$C$802,C644,$G$4:$G$802,"&gt;"&amp;G644)</x:f>
        <x:v>34</x:v>
      </x:c>
      <x:c r="I644" s="128" t="n">
        <x:f>D644/SUMIF($C$4:$C$802,C644,$D$4:$D$802)</x:f>
        <x:v>0.00930977342399309</x:v>
      </x:c>
      <x:c r="J644" s="103" t="n">
        <x:f>(D644/SUMIF($A$4:$A$802,A644,$D$4:$D$802))/(SUMIF($C$4:$C$802,C644,$D$4:$D$802)/SUM($D$4:$D$802))</x:f>
        <x:v>0.9587473895969506</x:v>
      </x:c>
    </x:row>
    <x:row r="645">
      <x:c r="A645" s="101" t="str">
        <x:v>愛媛県</x:v>
      </x:c>
      <x:c r="B645" s="101" t="str">
        <x:v>N</x:v>
      </x:c>
      <x:c r="C645" s="101" t="str">
        <x:v>生活関連サービス業，娯楽業</x:v>
      </x:c>
      <x:c r="D645" s="102" t="n">
        <x:v>21581</x:v>
      </x:c>
      <x:c r="E645" s="102" t="n">
        <x:f>1+COUNTIFS($C$4:$C$802,C645,$D$4:$D$802,"&gt;"&amp;D645)</x:f>
        <x:v>27</x:v>
      </x:c>
      <x:c r="F645" s="102" t="n">
        <x:v>1334841</x:v>
      </x:c>
      <x:c r="G645" s="126" t="n">
        <x:f>D645/F645*10000</x:f>
        <x:v>161.67468634841154</x:v>
      </x:c>
      <x:c r="H645" s="127" t="n">
        <x:f>1+COUNTIFS($C$4:$C$802,C645,$G$4:$G$802,"&gt;"&amp;G645)</x:f>
        <x:v>34</x:v>
      </x:c>
      <x:c r="I645" s="128" t="n">
        <x:f>D645/SUMIF($C$4:$C$802,C645,$D$4:$D$802)</x:f>
        <x:v>0.009917105479015817</x:v>
      </x:c>
      <x:c r="J645" s="103" t="n">
        <x:f>(D645/SUMIF($A$4:$A$802,A645,$D$4:$D$802))/(SUMIF($C$4:$C$802,C645,$D$4:$D$802)/SUM($D$4:$D$802))</x:f>
        <x:v>1.0212922009315581</x:v>
      </x:c>
    </x:row>
    <x:row r="646">
      <x:c r="A646" s="101" t="str">
        <x:v>愛媛県</x:v>
      </x:c>
      <x:c r="B646" s="101" t="str">
        <x:v>O</x:v>
      </x:c>
      <x:c r="C646" s="101" t="str">
        <x:v>教育，学習支援業</x:v>
      </x:c>
      <x:c r="D646" s="102" t="n">
        <x:v>15311</x:v>
      </x:c>
      <x:c r="E646" s="102" t="n">
        <x:f>1+COUNTIFS($C$4:$C$802,C646,$D$4:$D$802,"&gt;"&amp;D646)</x:f>
        <x:v>33</x:v>
      </x:c>
      <x:c r="F646" s="102" t="n">
        <x:v>1334841</x:v>
      </x:c>
      <x:c r="G646" s="126" t="n">
        <x:f>D646/F646*10000</x:f>
        <x:v>114.70279980911585</x:v>
      </x:c>
      <x:c r="H646" s="127" t="n">
        <x:f>1+COUNTIFS($C$4:$C$802,C646,$G$4:$G$802,"&gt;"&amp;G646)</x:f>
        <x:v>38</x:v>
      </x:c>
      <x:c r="I646" s="128" t="n">
        <x:f>D646/SUMIF($C$4:$C$802,C646,$D$4:$D$802)</x:f>
        <x:v>0.007848840487734361</x:v>
      </x:c>
      <x:c r="J646" s="103" t="n">
        <x:f>(D646/SUMIF($A$4:$A$802,A646,$D$4:$D$802))/(SUMIF($C$4:$C$802,C646,$D$4:$D$802)/SUM($D$4:$D$802))</x:f>
        <x:v>0.8082962910337484</x:v>
      </x:c>
    </x:row>
    <x:row r="647">
      <x:c r="A647" s="101" t="str">
        <x:v>愛媛県</x:v>
      </x:c>
      <x:c r="B647" s="101" t="str">
        <x:v>P</x:v>
      </x:c>
      <x:c r="C647" s="101" t="str">
        <x:v>医療，福祉</x:v>
      </x:c>
      <x:c r="D647" s="102" t="n">
        <x:v>95810</x:v>
      </x:c>
      <x:c r="E647" s="102" t="n">
        <x:f>1+COUNTIFS($C$4:$C$802,C647,$D$4:$D$802,"&gt;"&amp;D647)</x:f>
        <x:v>28</x:v>
      </x:c>
      <x:c r="F647" s="102" t="n">
        <x:v>1334841</x:v>
      </x:c>
      <x:c r="G647" s="126" t="n">
        <x:f>D647/F647*10000</x:f>
        <x:v>717.7633890478342</x:v>
      </x:c>
      <x:c r="H647" s="127" t="n">
        <x:f>1+COUNTIFS($C$4:$C$802,C647,$G$4:$G$802,"&gt;"&amp;G647)</x:f>
        <x:v>16</x:v>
      </x:c>
      <x:c r="I647" s="128" t="n">
        <x:f>D647/SUMIF($C$4:$C$802,C647,$D$4:$D$802)</x:f>
        <x:v>0.011737972100845854</x:v>
      </x:c>
      <x:c r="J647" s="103" t="n">
        <x:f>(D647/SUMIF($A$4:$A$802,A647,$D$4:$D$802))/(SUMIF($C$4:$C$802,C647,$D$4:$D$802)/SUM($D$4:$D$802))</x:f>
        <x:v>1.2088103113062563</x:v>
      </x:c>
    </x:row>
    <x:row r="648">
      <x:c r="A648" s="101" t="str">
        <x:v>愛媛県</x:v>
      </x:c>
      <x:c r="B648" s="101" t="str">
        <x:v>Q</x:v>
      </x:c>
      <x:c r="C648" s="101" t="str">
        <x:v>複合サービス事業</x:v>
      </x:c>
      <x:c r="D648" s="102" t="n">
        <x:v>7096</x:v>
      </x:c>
      <x:c r="E648" s="102" t="n">
        <x:f>1+COUNTIFS($C$4:$C$802,C648,$D$4:$D$802,"&gt;"&amp;D648)</x:f>
        <x:v>23</x:v>
      </x:c>
      <x:c r="F648" s="102" t="n">
        <x:v>1334841</x:v>
      </x:c>
      <x:c r="G648" s="126" t="n">
        <x:f>D648/F648*10000</x:f>
        <x:v>53.15988945499876</x:v>
      </x:c>
      <x:c r="H648" s="127" t="n">
        <x:f>1+COUNTIFS($C$4:$C$802,C648,$G$4:$G$802,"&gt;"&amp;G648)</x:f>
        <x:v>11</x:v>
      </x:c>
      <x:c r="I648" s="128" t="n">
        <x:f>D648/SUMIF($C$4:$C$802,C648,$D$4:$D$802)</x:f>
        <x:v>0.016276349290088768</x:v>
      </x:c>
      <x:c r="J648" s="103" t="n">
        <x:f>(D648/SUMIF($A$4:$A$802,A648,$D$4:$D$802))/(SUMIF($C$4:$C$802,C648,$D$4:$D$802)/SUM($D$4:$D$802))</x:f>
        <x:v>1.676185518524427</x:v>
      </x:c>
    </x:row>
    <x:row r="649">
      <x:c r="A649" s="101" t="str">
        <x:v>愛媛県</x:v>
      </x:c>
      <x:c r="B649" s="101" t="str">
        <x:v>R</x:v>
      </x:c>
      <x:c r="C649" s="101" t="str">
        <x:v>サービス業（他に分類されないもの）</x:v>
      </x:c>
      <x:c r="D649" s="102" t="n">
        <x:v>40277</x:v>
      </x:c>
      <x:c r="E649" s="102" t="n">
        <x:f>1+COUNTIFS($C$4:$C$802,C649,$D$4:$D$802,"&gt;"&amp;D649)</x:f>
        <x:v>29</x:v>
      </x:c>
      <x:c r="F649" s="102" t="n">
        <x:v>1334841</x:v>
      </x:c>
      <x:c r="G649" s="126" t="n">
        <x:f>D649/F649*10000</x:f>
        <x:v>301.73631166558414</x:v>
      </x:c>
      <x:c r="H649" s="127" t="n">
        <x:f>1+COUNTIFS($C$4:$C$802,C649,$G$4:$G$802,"&gt;"&amp;G649)</x:f>
        <x:v>37</x:v>
      </x:c>
      <x:c r="I649" s="128" t="n">
        <x:f>D649/SUMIF($C$4:$C$802,C649,$D$4:$D$802)</x:f>
        <x:v>0.007694766309467656</x:v>
      </x:c>
      <x:c r="J649" s="103" t="n">
        <x:f>(D649/SUMIF($A$4:$A$802,A649,$D$4:$D$802))/(SUMIF($C$4:$C$802,C649,$D$4:$D$802)/SUM($D$4:$D$802))</x:f>
        <x:v>0.7924292865976575</x:v>
      </x:c>
    </x:row>
    <x:row r="650">
      <x:c r="A650" s="101" t="str">
        <x:v>高知県</x:v>
      </x:c>
      <x:c r="B650" s="101" t="str">
        <x:v>AB</x:v>
      </x:c>
      <x:c r="C650" s="101" t="str">
        <x:v>農林漁業</x:v>
      </x:c>
      <x:c r="D650" s="102" t="n">
        <x:v>5275</x:v>
      </x:c>
      <x:c r="E650" s="102" t="n">
        <x:f>1+COUNTIFS($C$4:$C$802,C650,$D$4:$D$802,"&gt;"&amp;D650)</x:f>
        <x:v>39</x:v>
      </x:c>
      <x:c r="F650" s="102" t="n">
        <x:v>691527</x:v>
      </x:c>
      <x:c r="G650" s="126" t="n">
        <x:f>D650/F650*10000</x:f>
        <x:v>76.28046338031632</x:v>
      </x:c>
      <x:c r="H650" s="127" t="n">
        <x:f>1+COUNTIFS($C$4:$C$802,C650,$G$4:$G$802,"&gt;"&amp;G650)</x:f>
        <x:v>13</x:v>
      </x:c>
      <x:c r="I650" s="128" t="n">
        <x:f>D650/SUMIF($C$4:$C$802,C650,$D$4:$D$802)</x:f>
        <x:v>0.011626548645259123</x:v>
      </x:c>
      <x:c r="J650" s="103" t="n">
        <x:f>(D650/SUMIF($A$4:$A$802,A650,$D$4:$D$802))/(SUMIF($C$4:$C$802,C650,$D$4:$D$802)/SUM($D$4:$D$802))</x:f>
        <x:v>2.445784968386222</x:v>
      </x:c>
    </x:row>
    <x:row r="651">
      <x:c r="A651" s="101" t="str">
        <x:v>高知県</x:v>
      </x:c>
      <x:c r="B651" s="101" t="str">
        <x:v>C</x:v>
      </x:c>
      <x:c r="C651" s="101" t="str">
        <x:v>鉱業，採石業，砂利採取業</x:v>
      </x:c>
      <x:c r="D651" s="102" t="n">
        <x:v>447</x:v>
      </x:c>
      <x:c r="E651" s="102" t="n">
        <x:f>1+COUNTIFS($C$4:$C$802,C651,$D$4:$D$802,"&gt;"&amp;D651)</x:f>
        <x:v>15</x:v>
      </x:c>
      <x:c r="F651" s="102" t="n">
        <x:v>691527</x:v>
      </x:c>
      <x:c r="G651" s="126" t="n">
        <x:f>D651/F651*10000</x:f>
        <x:v>6.463955854218273</x:v>
      </x:c>
      <x:c r="H651" s="127" t="n">
        <x:f>1+COUNTIFS($C$4:$C$802,C651,$G$4:$G$802,"&gt;"&amp;G651)</x:f>
        <x:v>2</x:v>
      </x:c>
      <x:c r="I651" s="128" t="n">
        <x:f>D651/SUMIF($C$4:$C$802,C651,$D$4:$D$802)</x:f>
        <x:v>0.0226938112402904</x:v>
      </x:c>
      <x:c r="J651" s="103" t="n">
        <x:f>(D651/SUMIF($A$4:$A$802,A651,$D$4:$D$802))/(SUMIF($C$4:$C$802,C651,$D$4:$D$802)/SUM($D$4:$D$802))</x:f>
        <x:v>4.773917359347144</x:v>
      </x:c>
    </x:row>
    <x:row r="652">
      <x:c r="A652" s="101" t="str">
        <x:v>高知県</x:v>
      </x:c>
      <x:c r="B652" s="101" t="str">
        <x:v>D</x:v>
      </x:c>
      <x:c r="C652" s="101" t="str">
        <x:v>建設業</x:v>
      </x:c>
      <x:c r="D652" s="102" t="n">
        <x:v>22182</x:v>
      </x:c>
      <x:c r="E652" s="102" t="n">
        <x:f>1+COUNTIFS($C$4:$C$802,C652,$D$4:$D$802,"&gt;"&amp;D652)</x:f>
        <x:v>44</x:v>
      </x:c>
      <x:c r="F652" s="102" t="n">
        <x:v>691527</x:v>
      </x:c>
      <x:c r="G652" s="126" t="n">
        <x:f>D652/F652*10000</x:f>
        <x:v>320.7683864838249</x:v>
      </x:c>
      <x:c r="H652" s="127" t="n">
        <x:f>1+COUNTIFS($C$4:$C$802,C652,$G$4:$G$802,"&gt;"&amp;G652)</x:f>
        <x:v>19</x:v>
      </x:c>
      <x:c r="I652" s="128" t="n">
        <x:f>D652/SUMIF($C$4:$C$802,C652,$D$4:$D$802)</x:f>
        <x:v>0.005935118256870056</x:v>
      </x:c>
      <x:c r="J652" s="103" t="n">
        <x:f>(D652/SUMIF($A$4:$A$802,A652,$D$4:$D$802))/(SUMIF($C$4:$C$802,C652,$D$4:$D$802)/SUM($D$4:$D$802))</x:f>
        <x:v>1.2485238277626367</x:v>
      </x:c>
    </x:row>
    <x:row r="653">
      <x:c r="A653" s="101" t="str">
        <x:v>高知県</x:v>
      </x:c>
      <x:c r="B653" s="101" t="str">
        <x:v>E</x:v>
      </x:c>
      <x:c r="C653" s="101" t="str">
        <x:v>製造業</x:v>
      </x:c>
      <x:c r="D653" s="102" t="n">
        <x:v>27621</x:v>
      </x:c>
      <x:c r="E653" s="102" t="n">
        <x:f>1+COUNTIFS($C$4:$C$802,C653,$D$4:$D$802,"&gt;"&amp;D653)</x:f>
        <x:v>47</x:v>
      </x:c>
      <x:c r="F653" s="102" t="n">
        <x:v>691527</x:v>
      </x:c>
      <x:c r="G653" s="126" t="n">
        <x:f>D653/F653*10000</x:f>
        <x:v>399.4204130858231</x:v>
      </x:c>
      <x:c r="H653" s="127" t="n">
        <x:f>1+COUNTIFS($C$4:$C$802,C653,$G$4:$G$802,"&gt;"&amp;G653)</x:f>
        <x:v>44</x:v>
      </x:c>
      <x:c r="I653" s="128" t="n">
        <x:f>D653/SUMIF($C$4:$C$802,C653,$D$4:$D$802)</x:f>
        <x:v>0.003137451166522768</x:v>
      </x:c>
      <x:c r="J653" s="103" t="n">
        <x:f>(D653/SUMIF($A$4:$A$802,A653,$D$4:$D$802))/(SUMIF($C$4:$C$802,C653,$D$4:$D$802)/SUM($D$4:$D$802))</x:f>
        <x:v>0.6600007565664111</x:v>
      </x:c>
    </x:row>
    <x:row r="654">
      <x:c r="A654" s="101" t="str">
        <x:v>高知県</x:v>
      </x:c>
      <x:c r="B654" s="101" t="str">
        <x:v>F</x:v>
      </x:c>
      <x:c r="C654" s="101" t="str">
        <x:v>電気・ガス・熱供給・水道業</x:v>
      </x:c>
      <x:c r="D654" s="102" t="n">
        <x:v>963</x:v>
      </x:c>
      <x:c r="E654" s="102" t="n">
        <x:f>1+COUNTIFS($C$4:$C$802,C654,$D$4:$D$802,"&gt;"&amp;D654)</x:f>
        <x:v>47</x:v>
      </x:c>
      <x:c r="F654" s="102" t="n">
        <x:v>691527</x:v>
      </x:c>
      <x:c r="G654" s="126" t="n">
        <x:f>D654/F654*10000</x:f>
        <x:v>13.925703551705139</x:v>
      </x:c>
      <x:c r="H654" s="127" t="n">
        <x:f>1+COUNTIFS($C$4:$C$802,C654,$G$4:$G$802,"&gt;"&amp;G654)</x:f>
        <x:v>28</x:v>
      </x:c>
      <x:c r="I654" s="128" t="n">
        <x:f>D654/SUMIF($C$4:$C$802,C654,$D$4:$D$802)</x:f>
        <x:v>0.004763812831129513</x:v>
      </x:c>
      <x:c r="J654" s="103" t="n">
        <x:f>(D654/SUMIF($A$4:$A$802,A654,$D$4:$D$802))/(SUMIF($C$4:$C$802,C654,$D$4:$D$802)/SUM($D$4:$D$802))</x:f>
        <x:v>1.002125580864699</x:v>
      </x:c>
    </x:row>
    <x:row r="655">
      <x:c r="A655" s="101" t="str">
        <x:v>高知県</x:v>
      </x:c>
      <x:c r="B655" s="101" t="str">
        <x:v>G</x:v>
      </x:c>
      <x:c r="C655" s="101" t="str">
        <x:v>情報通信業</x:v>
      </x:c>
      <x:c r="D655" s="102" t="n">
        <x:v>3594</x:v>
      </x:c>
      <x:c r="E655" s="102" t="n">
        <x:f>1+COUNTIFS($C$4:$C$802,C655,$D$4:$D$802,"&gt;"&amp;D655)</x:f>
        <x:v>40</x:v>
      </x:c>
      <x:c r="F655" s="102" t="n">
        <x:v>691527</x:v>
      </x:c>
      <x:c r="G655" s="126" t="n">
        <x:f>D655/F655*10000</x:f>
        <x:v>51.97194035807712</x:v>
      </x:c>
      <x:c r="H655" s="127" t="n">
        <x:f>1+COUNTIFS($C$4:$C$802,C655,$G$4:$G$802,"&gt;"&amp;G655)</x:f>
        <x:v>24</x:v>
      </x:c>
      <x:c r="I655" s="128" t="n">
        <x:f>D655/SUMIF($C$4:$C$802,C655,$D$4:$D$802)</x:f>
        <x:v>0.0018089034894120761</x:v>
      </x:c>
      <x:c r="J655" s="103" t="n">
        <x:f>(D655/SUMIF($A$4:$A$802,A655,$D$4:$D$802))/(SUMIF($C$4:$C$802,C655,$D$4:$D$802)/SUM($D$4:$D$802))</x:f>
        <x:v>0.38052470244206676</x:v>
      </x:c>
    </x:row>
    <x:row r="656">
      <x:c r="A656" s="101" t="str">
        <x:v>高知県</x:v>
      </x:c>
      <x:c r="B656" s="101" t="str">
        <x:v>H</x:v>
      </x:c>
      <x:c r="C656" s="101" t="str">
        <x:v>運輸業，郵便業</x:v>
      </x:c>
      <x:c r="D656" s="102" t="n">
        <x:v>12039</x:v>
      </x:c>
      <x:c r="E656" s="102" t="n">
        <x:f>1+COUNTIFS($C$4:$C$802,C656,$D$4:$D$802,"&gt;"&amp;D656)</x:f>
        <x:v>45</x:v>
      </x:c>
      <x:c r="F656" s="102" t="n">
        <x:v>691527</x:v>
      </x:c>
      <x:c r="G656" s="126" t="n">
        <x:f>D656/F656*10000</x:f>
        <x:v>174.0929855233418</x:v>
      </x:c>
      <x:c r="H656" s="127" t="n">
        <x:f>1+COUNTIFS($C$4:$C$802,C656,$G$4:$G$802,"&gt;"&amp;G656)</x:f>
        <x:v>44</x:v>
      </x:c>
      <x:c r="I656" s="128" t="n">
        <x:f>D656/SUMIF($C$4:$C$802,C656,$D$4:$D$802)</x:f>
        <x:v>0.0036875898618386675</x:v>
      </x:c>
      <x:c r="J656" s="103" t="n">
        <x:f>(D656/SUMIF($A$4:$A$802,A656,$D$4:$D$802))/(SUMIF($C$4:$C$802,C656,$D$4:$D$802)/SUM($D$4:$D$802))</x:f>
        <x:v>0.7757290773763782</x:v>
      </x:c>
    </x:row>
    <x:row r="657">
      <x:c r="A657" s="101" t="str">
        <x:v>高知県</x:v>
      </x:c>
      <x:c r="B657" s="101" t="str">
        <x:v>I</x:v>
      </x:c>
      <x:c r="C657" s="101" t="str">
        <x:v>卸売業，小売業</x:v>
      </x:c>
      <x:c r="D657" s="102" t="n">
        <x:v>60566</x:v>
      </x:c>
      <x:c r="E657" s="102" t="n">
        <x:f>1+COUNTIFS($C$4:$C$802,C657,$D$4:$D$802,"&gt;"&amp;D657)</x:f>
        <x:v>44</x:v>
      </x:c>
      <x:c r="F657" s="102" t="n">
        <x:v>691527</x:v>
      </x:c>
      <x:c r="G657" s="126" t="n">
        <x:f>D657/F657*10000</x:f>
        <x:v>875.8298663681968</x:v>
      </x:c>
      <x:c r="H657" s="127" t="n">
        <x:f>1+COUNTIFS($C$4:$C$802,C657,$G$4:$G$802,"&gt;"&amp;G657)</x:f>
        <x:v>13</x:v>
      </x:c>
      <x:c r="I657" s="128" t="n">
        <x:f>D657/SUMIF($C$4:$C$802,C657,$D$4:$D$802)</x:f>
        <x:v>0.005215845367227688</x:v>
      </x:c>
      <x:c r="J657" s="103" t="n">
        <x:f>(D657/SUMIF($A$4:$A$802,A657,$D$4:$D$802))/(SUMIF($C$4:$C$802,C657,$D$4:$D$802)/SUM($D$4:$D$802))</x:f>
        <x:v>1.0972160858583049</x:v>
      </x:c>
    </x:row>
    <x:row r="658">
      <x:c r="A658" s="101" t="str">
        <x:v>高知県</x:v>
      </x:c>
      <x:c r="B658" s="101" t="str">
        <x:v>J</x:v>
      </x:c>
      <x:c r="C658" s="101" t="str">
        <x:v>金融業，保険業</x:v>
      </x:c>
      <x:c r="D658" s="102" t="n">
        <x:v>7334</x:v>
      </x:c>
      <x:c r="E658" s="102" t="n">
        <x:f>1+COUNTIFS($C$4:$C$802,C658,$D$4:$D$802,"&gt;"&amp;D658)</x:f>
        <x:v>45</x:v>
      </x:c>
      <x:c r="F658" s="102" t="n">
        <x:v>691527</x:v>
      </x:c>
      <x:c r="G658" s="126" t="n">
        <x:f>D658/F658*10000</x:f>
        <x:v>106.05515041350517</x:v>
      </x:c>
      <x:c r="H658" s="127" t="n">
        <x:f>1+COUNTIFS($C$4:$C$802,C658,$G$4:$G$802,"&gt;"&amp;G658)</x:f>
        <x:v>14</x:v>
      </x:c>
      <x:c r="I658" s="128" t="n">
        <x:f>D658/SUMIF($C$4:$C$802,C658,$D$4:$D$802)</x:f>
        <x:v>0.004907537024001028</x:v>
      </x:c>
      <x:c r="J658" s="103" t="n">
        <x:f>(D658/SUMIF($A$4:$A$802,A658,$D$4:$D$802))/(SUMIF($C$4:$C$802,C658,$D$4:$D$802)/SUM($D$4:$D$802))</x:f>
        <x:v>1.032359701173646</x:v>
      </x:c>
    </x:row>
    <x:row r="659">
      <x:c r="A659" s="101" t="str">
        <x:v>高知県</x:v>
      </x:c>
      <x:c r="B659" s="101" t="str">
        <x:v>K</x:v>
      </x:c>
      <x:c r="C659" s="101" t="str">
        <x:v>不動産業，物品賃貸業</x:v>
      </x:c>
      <x:c r="D659" s="102" t="n">
        <x:v>5295</x:v>
      </x:c>
      <x:c r="E659" s="102" t="n">
        <x:f>1+COUNTIFS($C$4:$C$802,C659,$D$4:$D$802,"&gt;"&amp;D659)</x:f>
        <x:v>45</x:v>
      </x:c>
      <x:c r="F659" s="102" t="n">
        <x:v>691527</x:v>
      </x:c>
      <x:c r="G659" s="126" t="n">
        <x:f>D659/F659*10000</x:f>
        <x:v>76.5696784073507</x:v>
      </x:c>
      <x:c r="H659" s="127" t="n">
        <x:f>1+COUNTIFS($C$4:$C$802,C659,$G$4:$G$802,"&gt;"&amp;G659)</x:f>
        <x:v>38</x:v>
      </x:c>
      <x:c r="I659" s="128" t="n">
        <x:f>D659/SUMIF($C$4:$C$802,C659,$D$4:$D$802)</x:f>
        <x:v>0.0032722796201560063</x:v>
      </x:c>
      <x:c r="J659" s="103" t="n">
        <x:f>(D659/SUMIF($A$4:$A$802,A659,$D$4:$D$802))/(SUMIF($C$4:$C$802,C659,$D$4:$D$802)/SUM($D$4:$D$802))</x:f>
        <x:v>0.688363550656762</x:v>
      </x:c>
    </x:row>
    <x:row r="660">
      <x:c r="A660" s="101" t="str">
        <x:v>高知県</x:v>
      </x:c>
      <x:c r="B660" s="101" t="str">
        <x:v>L</x:v>
      </x:c>
      <x:c r="C660" s="101" t="str">
        <x:v>学術研究，専門・技術サービス業</x:v>
      </x:c>
      <x:c r="D660" s="102" t="n">
        <x:v>6380</x:v>
      </x:c>
      <x:c r="E660" s="102" t="n">
        <x:f>1+COUNTIFS($C$4:$C$802,C660,$D$4:$D$802,"&gt;"&amp;D660)</x:f>
        <x:v>46</x:v>
      </x:c>
      <x:c r="F660" s="102" t="n">
        <x:v>691527</x:v>
      </x:c>
      <x:c r="G660" s="126" t="n">
        <x:f>D660/F660*10000</x:f>
        <x:v>92.25959362396551</x:v>
      </x:c>
      <x:c r="H660" s="127" t="n">
        <x:f>1+COUNTIFS($C$4:$C$802,C660,$G$4:$G$802,"&gt;"&amp;G660)</x:f>
        <x:v>40</x:v>
      </x:c>
      <x:c r="I660" s="128" t="n">
        <x:f>D660/SUMIF($C$4:$C$802,C660,$D$4:$D$802)</x:f>
        <x:v>0.0030109678515470146</x:v>
      </x:c>
      <x:c r="J660" s="103" t="n">
        <x:f>(D660/SUMIF($A$4:$A$802,A660,$D$4:$D$802))/(SUMIF($C$4:$C$802,C660,$D$4:$D$802)/SUM($D$4:$D$802))</x:f>
        <x:v>0.6333934632106568</x:v>
      </x:c>
    </x:row>
    <x:row r="661">
      <x:c r="A661" s="101" t="str">
        <x:v>高知県</x:v>
      </x:c>
      <x:c r="B661" s="101" t="str">
        <x:v>M</x:v>
      </x:c>
      <x:c r="C661" s="101" t="str">
        <x:v>宿泊業，飲食サービス業</x:v>
      </x:c>
      <x:c r="D661" s="102" t="n">
        <x:v>26944</x:v>
      </x:c>
      <x:c r="E661" s="102" t="n">
        <x:f>1+COUNTIFS($C$4:$C$802,C661,$D$4:$D$802,"&gt;"&amp;D661)</x:f>
        <x:v>44</x:v>
      </x:c>
      <x:c r="F661" s="102" t="n">
        <x:v>691527</x:v>
      </x:c>
      <x:c r="G661" s="126" t="n">
        <x:f>D661/F661*10000</x:f>
        <x:v>389.63048442070954</x:v>
      </x:c>
      <x:c r="H661" s="127" t="n">
        <x:f>1+COUNTIFS($C$4:$C$802,C661,$G$4:$G$802,"&gt;"&amp;G661)</x:f>
        <x:v>9</x:v>
      </x:c>
      <x:c r="I661" s="128" t="n">
        <x:f>D661/SUMIF($C$4:$C$802,C661,$D$4:$D$802)</x:f>
        <x:v>0.005758816638414752</x:v>
      </x:c>
      <x:c r="J661" s="103" t="n">
        <x:f>(D661/SUMIF($A$4:$A$802,A661,$D$4:$D$802))/(SUMIF($C$4:$C$802,C661,$D$4:$D$802)/SUM($D$4:$D$802))</x:f>
        <x:v>1.2114366524127989</x:v>
      </x:c>
    </x:row>
    <x:row r="662">
      <x:c r="A662" s="101" t="str">
        <x:v>高知県</x:v>
      </x:c>
      <x:c r="B662" s="101" t="str">
        <x:v>N</x:v>
      </x:c>
      <x:c r="C662" s="101" t="str">
        <x:v>生活関連サービス業，娯楽業</x:v>
      </x:c>
      <x:c r="D662" s="102" t="n">
        <x:v>11377</x:v>
      </x:c>
      <x:c r="E662" s="102" t="n">
        <x:f>1+COUNTIFS($C$4:$C$802,C662,$D$4:$D$802,"&gt;"&amp;D662)</x:f>
        <x:v>45</x:v>
      </x:c>
      <x:c r="F662" s="102" t="n">
        <x:v>691527</x:v>
      </x:c>
      <x:c r="G662" s="126" t="n">
        <x:f>D662/F662*10000</x:f>
        <x:v>164.51996812850402</x:v>
      </x:c>
      <x:c r="H662" s="127" t="n">
        <x:f>1+COUNTIFS($C$4:$C$802,C662,$G$4:$G$802,"&gt;"&amp;G662)</x:f>
        <x:v>27</x:v>
      </x:c>
      <x:c r="I662" s="128" t="n">
        <x:f>D662/SUMIF($C$4:$C$802,C662,$D$4:$D$802)</x:f>
        <x:v>0.005228066773308139</x:v>
      </x:c>
      <x:c r="J662" s="103" t="n">
        <x:f>(D662/SUMIF($A$4:$A$802,A662,$D$4:$D$802))/(SUMIF($C$4:$C$802,C662,$D$4:$D$802)/SUM($D$4:$D$802))</x:f>
        <x:v>1.099787006274683</x:v>
      </x:c>
    </x:row>
    <x:row r="663">
      <x:c r="A663" s="101" t="str">
        <x:v>高知県</x:v>
      </x:c>
      <x:c r="B663" s="101" t="str">
        <x:v>O</x:v>
      </x:c>
      <x:c r="C663" s="101" t="str">
        <x:v>教育，学習支援業</x:v>
      </x:c>
      <x:c r="D663" s="102" t="n">
        <x:v>8309</x:v>
      </x:c>
      <x:c r="E663" s="102" t="n">
        <x:f>1+COUNTIFS($C$4:$C$802,C663,$D$4:$D$802,"&gt;"&amp;D663)</x:f>
        <x:v>46</x:v>
      </x:c>
      <x:c r="F663" s="102" t="n">
        <x:v>691527</x:v>
      </x:c>
      <x:c r="G663" s="126" t="n">
        <x:f>D663/F663*10000</x:f>
        <x:v>120.15438298143096</x:v>
      </x:c>
      <x:c r="H663" s="127" t="n">
        <x:f>1+COUNTIFS($C$4:$C$802,C663,$G$4:$G$802,"&gt;"&amp;G663)</x:f>
        <x:v>34</x:v>
      </x:c>
      <x:c r="I663" s="128" t="n">
        <x:f>D663/SUMIF($C$4:$C$802,C663,$D$4:$D$802)</x:f>
        <x:v>0.0042594223507664295</x:v>
      </x:c>
      <x:c r="J663" s="103" t="n">
        <x:f>(D663/SUMIF($A$4:$A$802,A663,$D$4:$D$802))/(SUMIF($C$4:$C$802,C663,$D$4:$D$802)/SUM($D$4:$D$802))</x:f>
        <x:v>0.8960209497562945</x:v>
      </x:c>
    </x:row>
    <x:row r="664">
      <x:c r="A664" s="101" t="str">
        <x:v>高知県</x:v>
      </x:c>
      <x:c r="B664" s="101" t="str">
        <x:v>P</x:v>
      </x:c>
      <x:c r="C664" s="101" t="str">
        <x:v>医療，福祉</x:v>
      </x:c>
      <x:c r="D664" s="102" t="n">
        <x:v>56449</x:v>
      </x:c>
      <x:c r="E664" s="102" t="n">
        <x:f>1+COUNTIFS($C$4:$C$802,C664,$D$4:$D$802,"&gt;"&amp;D664)</x:f>
        <x:v>43</x:v>
      </x:c>
      <x:c r="F664" s="102" t="n">
        <x:v>691527</x:v>
      </x:c>
      <x:c r="G664" s="126" t="n">
        <x:f>D664/F664*10000</x:f>
        <x:v>816.2949530531707</x:v>
      </x:c>
      <x:c r="H664" s="127" t="n">
        <x:f>1+COUNTIFS($C$4:$C$802,C664,$G$4:$G$802,"&gt;"&amp;G664)</x:f>
        <x:v>5</x:v>
      </x:c>
      <x:c r="I664" s="128" t="n">
        <x:f>D664/SUMIF($C$4:$C$802,C664,$D$4:$D$802)</x:f>
        <x:v>0.006915737262505455</x:v>
      </x:c>
      <x:c r="J664" s="103" t="n">
        <x:f>(D664/SUMIF($A$4:$A$802,A664,$D$4:$D$802))/(SUMIF($C$4:$C$802,C664,$D$4:$D$802)/SUM($D$4:$D$802))</x:f>
        <x:v>1.454808882500259</x:v>
      </x:c>
    </x:row>
    <x:row r="665">
      <x:c r="A665" s="101" t="str">
        <x:v>高知県</x:v>
      </x:c>
      <x:c r="B665" s="101" t="str">
        <x:v>Q</x:v>
      </x:c>
      <x:c r="C665" s="101" t="str">
        <x:v>複合サービス事業</x:v>
      </x:c>
      <x:c r="D665" s="102" t="n">
        <x:v>4080</x:v>
      </x:c>
      <x:c r="E665" s="102" t="n">
        <x:f>1+COUNTIFS($C$4:$C$802,C665,$D$4:$D$802,"&gt;"&amp;D665)</x:f>
        <x:v>42</x:v>
      </x:c>
      <x:c r="F665" s="102" t="n">
        <x:v>691527</x:v>
      </x:c>
      <x:c r="G665" s="126" t="n">
        <x:f>D665/F665*10000</x:f>
        <x:v>58.999865515012424</x:v>
      </x:c>
      <x:c r="H665" s="127" t="n">
        <x:f>1+COUNTIFS($C$4:$C$802,C665,$G$4:$G$802,"&gt;"&amp;G665)</x:f>
        <x:v>4</x:v>
      </x:c>
      <x:c r="I665" s="128" t="n">
        <x:f>D665/SUMIF($C$4:$C$802,C665,$D$4:$D$802)</x:f>
        <x:v>0.009358442094639539</x:v>
      </x:c>
      <x:c r="J665" s="103" t="n">
        <x:f>(D665/SUMIF($A$4:$A$802,A665,$D$4:$D$802))/(SUMIF($C$4:$C$802,C665,$D$4:$D$802)/SUM($D$4:$D$802))</x:f>
        <x:v>1.9686613543663656</x:v>
      </x:c>
    </x:row>
    <x:row r="666">
      <x:c r="A666" s="101" t="str">
        <x:v>高知県</x:v>
      </x:c>
      <x:c r="B666" s="101" t="str">
        <x:v>R</x:v>
      </x:c>
      <x:c r="C666" s="101" t="str">
        <x:v>サービス業（他に分類されないもの）</x:v>
      </x:c>
      <x:c r="D666" s="102" t="n">
        <x:v>16622</x:v>
      </x:c>
      <x:c r="E666" s="102" t="n">
        <x:f>1+COUNTIFS($C$4:$C$802,C666,$D$4:$D$802,"&gt;"&amp;D666)</x:f>
        <x:v>46</x:v>
      </x:c>
      <x:c r="F666" s="102" t="n">
        <x:v>691527</x:v>
      </x:c>
      <x:c r="G666" s="126" t="n">
        <x:f>D666/F666*10000</x:f>
        <x:v>240.3666089682688</x:v>
      </x:c>
      <x:c r="H666" s="127" t="n">
        <x:f>1+COUNTIFS($C$4:$C$802,C666,$G$4:$G$802,"&gt;"&amp;G666)</x:f>
        <x:v>46</x:v>
      </x:c>
      <x:c r="I666" s="128" t="n">
        <x:f>D666/SUMIF($C$4:$C$802,C666,$D$4:$D$802)</x:f>
        <x:v>0.0031755693223420654</x:v>
      </x:c>
      <x:c r="J666" s="103" t="n">
        <x:f>(D666/SUMIF($A$4:$A$802,A666,$D$4:$D$802))/(SUMIF($C$4:$C$802,C666,$D$4:$D$802)/SUM($D$4:$D$802))</x:f>
        <x:v>0.6680193711501515</x:v>
      </x:c>
    </x:row>
    <x:row r="667">
      <x:c r="A667" s="101" t="str">
        <x:v>福岡県</x:v>
      </x:c>
      <x:c r="B667" s="101" t="str">
        <x:v>AB</x:v>
      </x:c>
      <x:c r="C667" s="101" t="str">
        <x:v>農林漁業</x:v>
      </x:c>
      <x:c r="D667" s="102" t="n">
        <x:v>11648</x:v>
      </x:c>
      <x:c r="E667" s="102" t="n">
        <x:f>1+COUNTIFS($C$4:$C$802,C667,$D$4:$D$802,"&gt;"&amp;D667)</x:f>
        <x:v>12</x:v>
      </x:c>
      <x:c r="F667" s="102" t="n">
        <x:v>5135214</x:v>
      </x:c>
      <x:c r="G667" s="126" t="n">
        <x:f>D667/F667*10000</x:f>
        <x:v>22.682599011453075</x:v>
      </x:c>
      <x:c r="H667" s="127" t="n">
        <x:f>1+COUNTIFS($C$4:$C$802,C667,$G$4:$G$802,"&gt;"&amp;G667)</x:f>
        <x:v>39</x:v>
      </x:c>
      <x:c r="I667" s="128" t="n">
        <x:f>D667/SUMIF($C$4:$C$802,C667,$D$4:$D$802)</x:f>
        <x:v>0.02567318267677313</x:v>
      </x:c>
      <x:c r="J667" s="103" t="n">
        <x:f>(D667/SUMIF($A$4:$A$802,A667,$D$4:$D$802))/(SUMIF($C$4:$C$802,C667,$D$4:$D$802)/SUM($D$4:$D$802))</x:f>
        <x:v>0.6440544755401326</x:v>
      </x:c>
    </x:row>
    <x:row r="668">
      <x:c r="A668" s="101" t="str">
        <x:v>福岡県</x:v>
      </x:c>
      <x:c r="B668" s="101" t="str">
        <x:v>C</x:v>
      </x:c>
      <x:c r="C668" s="101" t="str">
        <x:v>鉱業，採石業，砂利採取業</x:v>
      </x:c>
      <x:c r="D668" s="102" t="n">
        <x:v>485</x:v>
      </x:c>
      <x:c r="E668" s="102" t="n">
        <x:f>1+COUNTIFS($C$4:$C$802,C668,$D$4:$D$802,"&gt;"&amp;D668)</x:f>
        <x:v>13</x:v>
      </x:c>
      <x:c r="F668" s="102" t="n">
        <x:v>5135214</x:v>
      </x:c>
      <x:c r="G668" s="126" t="n">
        <x:f>D668/F668*10000</x:f>
        <x:v>0.9444591793058673</x:v>
      </x:c>
      <x:c r="H668" s="127" t="n">
        <x:f>1+COUNTIFS($C$4:$C$802,C668,$G$4:$G$802,"&gt;"&amp;G668)</x:f>
        <x:v>38</x:v>
      </x:c>
      <x:c r="I668" s="128" t="n">
        <x:f>D668/SUMIF($C$4:$C$802,C668,$D$4:$D$802)</x:f>
        <x:v>0.024623039041478396</x:v>
      </x:c>
      <x:c r="J668" s="103" t="n">
        <x:f>(D668/SUMIF($A$4:$A$802,A668,$D$4:$D$802))/(SUMIF($C$4:$C$802,C668,$D$4:$D$802)/SUM($D$4:$D$802))</x:f>
        <x:v>0.6177098763220754</x:v>
      </x:c>
    </x:row>
    <x:row r="669">
      <x:c r="A669" s="101" t="str">
        <x:v>福岡県</x:v>
      </x:c>
      <x:c r="B669" s="101" t="str">
        <x:v>D</x:v>
      </x:c>
      <x:c r="C669" s="101" t="str">
        <x:v>建設業</x:v>
      </x:c>
      <x:c r="D669" s="102" t="n">
        <x:v>157435</x:v>
      </x:c>
      <x:c r="E669" s="102" t="n">
        <x:f>1+COUNTIFS($C$4:$C$802,C669,$D$4:$D$802,"&gt;"&amp;D669)</x:f>
        <x:v>7</x:v>
      </x:c>
      <x:c r="F669" s="102" t="n">
        <x:v>5135214</x:v>
      </x:c>
      <x:c r="G669" s="126" t="n">
        <x:f>D669/F669*10000</x:f>
        <x:v>306.57923895674065</x:v>
      </x:c>
      <x:c r="H669" s="127" t="n">
        <x:f>1+COUNTIFS($C$4:$C$802,C669,$G$4:$G$802,"&gt;"&amp;G669)</x:f>
        <x:v>29</x:v>
      </x:c>
      <x:c r="I669" s="128" t="n">
        <x:f>D669/SUMIF($C$4:$C$802,C669,$D$4:$D$802)</x:f>
        <x:v>0.04212403492788465</x:v>
      </x:c>
      <x:c r="J669" s="103" t="n">
        <x:f>(D669/SUMIF($A$4:$A$802,A669,$D$4:$D$802))/(SUMIF($C$4:$C$802,C669,$D$4:$D$802)/SUM($D$4:$D$802))</x:f>
        <x:v>1.0567514579194732</x:v>
      </x:c>
    </x:row>
    <x:row r="670">
      <x:c r="A670" s="101" t="str">
        <x:v>福岡県</x:v>
      </x:c>
      <x:c r="B670" s="101" t="str">
        <x:v>E</x:v>
      </x:c>
      <x:c r="C670" s="101" t="str">
        <x:v>製造業</x:v>
      </x:c>
      <x:c r="D670" s="102" t="n">
        <x:v>250689</x:v>
      </x:c>
      <x:c r="E670" s="102" t="n">
        <x:f>1+COUNTIFS($C$4:$C$802,C670,$D$4:$D$802,"&gt;"&amp;D670)</x:f>
        <x:v>9</x:v>
      </x:c>
      <x:c r="F670" s="102" t="n">
        <x:v>5135214</x:v>
      </x:c>
      <x:c r="G670" s="126" t="n">
        <x:f>D670/F670*10000</x:f>
        <x:v>488.17634474434755</x:v>
      </x:c>
      <x:c r="H670" s="127" t="n">
        <x:f>1+COUNTIFS($C$4:$C$802,C670,$G$4:$G$802,"&gt;"&amp;G670)</x:f>
        <x:v>40</x:v>
      </x:c>
      <x:c r="I670" s="128" t="n">
        <x:f>D670/SUMIF($C$4:$C$802,C670,$D$4:$D$802)</x:f>
        <x:v>0.028475598113190188</x:v>
      </x:c>
      <x:c r="J670" s="103" t="n">
        <x:f>(D670/SUMIF($A$4:$A$802,A670,$D$4:$D$802))/(SUMIF($C$4:$C$802,C670,$D$4:$D$802)/SUM($D$4:$D$802))</x:f>
        <x:v>0.71435772647988</x:v>
      </x:c>
    </x:row>
    <x:row r="671">
      <x:c r="A671" s="101" t="str">
        <x:v>福岡県</x:v>
      </x:c>
      <x:c r="B671" s="101" t="str">
        <x:v>F</x:v>
      </x:c>
      <x:c r="C671" s="101" t="str">
        <x:v>電気・ガス・熱供給・水道業</x:v>
      </x:c>
      <x:c r="D671" s="102" t="n">
        <x:v>12528</x:v>
      </x:c>
      <x:c r="E671" s="102" t="n">
        <x:f>1+COUNTIFS($C$4:$C$802,C671,$D$4:$D$802,"&gt;"&amp;D671)</x:f>
        <x:v>4</x:v>
      </x:c>
      <x:c r="F671" s="102" t="n">
        <x:v>5135214</x:v>
      </x:c>
      <x:c r="G671" s="126" t="n">
        <x:f>D671/F671*10000</x:f>
        <x:v>24.396256903801866</x:v>
      </x:c>
      <x:c r="H671" s="127" t="n">
        <x:f>1+COUNTIFS($C$4:$C$802,C671,$G$4:$G$802,"&gt;"&amp;G671)</x:f>
        <x:v>4</x:v>
      </x:c>
      <x:c r="I671" s="128" t="n">
        <x:f>D671/SUMIF($C$4:$C$802,C671,$D$4:$D$802)</x:f>
        <x:v>0.061974088419927874</x:v>
      </x:c>
      <x:c r="J671" s="103" t="n">
        <x:f>(D671/SUMIF($A$4:$A$802,A671,$D$4:$D$802))/(SUMIF($C$4:$C$802,C671,$D$4:$D$802)/SUM($D$4:$D$802))</x:f>
        <x:v>1.5547230554506126</x:v>
      </x:c>
    </x:row>
    <x:row r="672">
      <x:c r="A672" s="101" t="str">
        <x:v>福岡県</x:v>
      </x:c>
      <x:c r="B672" s="101" t="str">
        <x:v>G</x:v>
      </x:c>
      <x:c r="C672" s="101" t="str">
        <x:v>情報通信業</x:v>
      </x:c>
      <x:c r="D672" s="102" t="n">
        <x:v>63139</x:v>
      </x:c>
      <x:c r="E672" s="102" t="n">
        <x:f>1+COUNTIFS($C$4:$C$802,C672,$D$4:$D$802,"&gt;"&amp;D672)</x:f>
        <x:v>5</x:v>
      </x:c>
      <x:c r="F672" s="102" t="n">
        <x:v>5135214</x:v>
      </x:c>
      <x:c r="G672" s="126" t="n">
        <x:f>D672/F672*10000</x:f>
        <x:v>122.95300643751166</x:v>
      </x:c>
      <x:c r="H672" s="127" t="n">
        <x:f>1+COUNTIFS($C$4:$C$802,C672,$G$4:$G$802,"&gt;"&amp;G672)</x:f>
        <x:v>4</x:v>
      </x:c>
      <x:c r="I672" s="128" t="n">
        <x:f>D672/SUMIF($C$4:$C$802,C672,$D$4:$D$802)</x:f>
        <x:v>0.03177861920366975</x:v>
      </x:c>
      <x:c r="J672" s="103" t="n">
        <x:f>(D672/SUMIF($A$4:$A$802,A672,$D$4:$D$802))/(SUMIF($C$4:$C$802,C672,$D$4:$D$802)/SUM($D$4:$D$802))</x:f>
        <x:v>0.7972195026340081</x:v>
      </x:c>
    </x:row>
    <x:row r="673">
      <x:c r="A673" s="101" t="str">
        <x:v>福岡県</x:v>
      </x:c>
      <x:c r="B673" s="101" t="str">
        <x:v>H</x:v>
      </x:c>
      <x:c r="C673" s="101" t="str">
        <x:v>運輸業，郵便業</x:v>
      </x:c>
      <x:c r="D673" s="102" t="n">
        <x:v>139274</x:v>
      </x:c>
      <x:c r="E673" s="102" t="n">
        <x:f>1+COUNTIFS($C$4:$C$802,C673,$D$4:$D$802,"&gt;"&amp;D673)</x:f>
        <x:v>7</x:v>
      </x:c>
      <x:c r="F673" s="102" t="n">
        <x:v>5135214</x:v>
      </x:c>
      <x:c r="G673" s="126" t="n">
        <x:f>D673/F673*10000</x:f>
        <x:v>271.2136242033925</x:v>
      </x:c>
      <x:c r="H673" s="127" t="n">
        <x:f>1+COUNTIFS($C$4:$C$802,C673,$G$4:$G$802,"&gt;"&amp;G673)</x:f>
        <x:v>8</x:v>
      </x:c>
      <x:c r="I673" s="128" t="n">
        <x:f>D673/SUMIF($C$4:$C$802,C673,$D$4:$D$802)</x:f>
        <x:v>0.04266013708926975</x:v>
      </x:c>
      <x:c r="J673" s="103" t="n">
        <x:f>(D673/SUMIF($A$4:$A$802,A673,$D$4:$D$802))/(SUMIF($C$4:$C$802,C673,$D$4:$D$802)/SUM($D$4:$D$802))</x:f>
        <x:v>1.0702004720418712</x:v>
      </x:c>
    </x:row>
    <x:row r="674">
      <x:c r="A674" s="101" t="str">
        <x:v>福岡県</x:v>
      </x:c>
      <x:c r="B674" s="101" t="str">
        <x:v>I</x:v>
      </x:c>
      <x:c r="C674" s="101" t="str">
        <x:v>卸売業，小売業</x:v>
      </x:c>
      <x:c r="D674" s="102" t="n">
        <x:v>484405</x:v>
      </x:c>
      <x:c r="E674" s="102" t="n">
        <x:f>1+COUNTIFS($C$4:$C$802,C674,$D$4:$D$802,"&gt;"&amp;D674)</x:f>
        <x:v>6</x:v>
      </x:c>
      <x:c r="F674" s="102" t="n">
        <x:v>5135214</x:v>
      </x:c>
      <x:c r="G674" s="126" t="n">
        <x:f>D674/F674*10000</x:f>
        <x:v>943.3005128900178</x:v>
      </x:c>
      <x:c r="H674" s="127" t="n">
        <x:f>1+COUNTIFS($C$4:$C$802,C674,$G$4:$G$802,"&gt;"&amp;G674)</x:f>
        <x:v>8</x:v>
      </x:c>
      <x:c r="I674" s="128" t="n">
        <x:f>D674/SUMIF($C$4:$C$802,C674,$D$4:$D$802)</x:f>
        <x:v>0.04171617037796665</x:v>
      </x:c>
      <x:c r="J674" s="103" t="n">
        <x:f>(D674/SUMIF($A$4:$A$802,A674,$D$4:$D$802))/(SUMIF($C$4:$C$802,C674,$D$4:$D$802)/SUM($D$4:$D$802))</x:f>
        <x:v>1.0465194975078604</x:v>
      </x:c>
    </x:row>
    <x:row r="675">
      <x:c r="A675" s="101" t="str">
        <x:v>福岡県</x:v>
      </x:c>
      <x:c r="B675" s="101" t="str">
        <x:v>J</x:v>
      </x:c>
      <x:c r="C675" s="101" t="str">
        <x:v>金融業，保険業</x:v>
      </x:c>
      <x:c r="D675" s="102" t="n">
        <x:v>56443</x:v>
      </x:c>
      <x:c r="E675" s="102" t="n">
        <x:f>1+COUNTIFS($C$4:$C$802,C675,$D$4:$D$802,"&gt;"&amp;D675)</x:f>
        <x:v>5</x:v>
      </x:c>
      <x:c r="F675" s="102" t="n">
        <x:v>5135214</x:v>
      </x:c>
      <x:c r="G675" s="126" t="n">
        <x:f>D675/F675*10000</x:f>
        <x:v>109.91362774754859</x:v>
      </x:c>
      <x:c r="H675" s="127" t="n">
        <x:f>1+COUNTIFS($C$4:$C$802,C675,$G$4:$G$802,"&gt;"&amp;G675)</x:f>
        <x:v>8</x:v>
      </x:c>
      <x:c r="I675" s="128" t="n">
        <x:f>D675/SUMIF($C$4:$C$802,C675,$D$4:$D$802)</x:f>
        <x:v>0.0377687636004486</x:v>
      </x:c>
      <x:c r="J675" s="103" t="n">
        <x:f>(D675/SUMIF($A$4:$A$802,A675,$D$4:$D$802))/(SUMIF($C$4:$C$802,C675,$D$4:$D$802)/SUM($D$4:$D$802))</x:f>
        <x:v>0.9474922349418503</x:v>
      </x:c>
    </x:row>
    <x:row r="676">
      <x:c r="A676" s="101" t="str">
        <x:v>福岡県</x:v>
      </x:c>
      <x:c r="B676" s="101" t="str">
        <x:v>K</x:v>
      </x:c>
      <x:c r="C676" s="101" t="str">
        <x:v>不動産業，物品賃貸業</x:v>
      </x:c>
      <x:c r="D676" s="102" t="n">
        <x:v>67785</x:v>
      </x:c>
      <x:c r="E676" s="102" t="n">
        <x:f>1+COUNTIFS($C$4:$C$802,C676,$D$4:$D$802,"&gt;"&amp;D676)</x:f>
        <x:v>6</x:v>
      </x:c>
      <x:c r="F676" s="102" t="n">
        <x:v>5135214</x:v>
      </x:c>
      <x:c r="G676" s="126" t="n">
        <x:f>D676/F676*10000</x:f>
        <x:v>132.00034117370765</x:v>
      </x:c>
      <x:c r="H676" s="127" t="n">
        <x:f>1+COUNTIFS($C$4:$C$802,C676,$G$4:$G$802,"&gt;"&amp;G676)</x:f>
        <x:v>4</x:v>
      </x:c>
      <x:c r="I676" s="128" t="n">
        <x:f>D676/SUMIF($C$4:$C$802,C676,$D$4:$D$802)</x:f>
        <x:v>0.041890741086359755</x:v>
      </x:c>
      <x:c r="J676" s="103" t="n">
        <x:f>(D676/SUMIF($A$4:$A$802,A676,$D$4:$D$802))/(SUMIF($C$4:$C$802,C676,$D$4:$D$802)/SUM($D$4:$D$802))</x:f>
        <x:v>1.0508988939954067</x:v>
      </x:c>
    </x:row>
    <x:row r="677">
      <x:c r="A677" s="101" t="str">
        <x:v>福岡県</x:v>
      </x:c>
      <x:c r="B677" s="101" t="str">
        <x:v>L</x:v>
      </x:c>
      <x:c r="C677" s="101" t="str">
        <x:v>学術研究，専門・技術サービス業</x:v>
      </x:c>
      <x:c r="D677" s="102" t="n">
        <x:v>78177</x:v>
      </x:c>
      <x:c r="E677" s="102" t="n">
        <x:f>1+COUNTIFS($C$4:$C$802,C677,$D$4:$D$802,"&gt;"&amp;D677)</x:f>
        <x:v>5</x:v>
      </x:c>
      <x:c r="F677" s="102" t="n">
        <x:v>5135214</x:v>
      </x:c>
      <x:c r="G677" s="126" t="n">
        <x:f>D677/F677*10000</x:f>
        <x:v>152.23708301153565</x:v>
      </x:c>
      <x:c r="H677" s="127" t="n">
        <x:f>1+COUNTIFS($C$4:$C$802,C677,$G$4:$G$802,"&gt;"&amp;G677)</x:f>
        <x:v>7</x:v>
      </x:c>
      <x:c r="I677" s="128" t="n">
        <x:f>D677/SUMIF($C$4:$C$802,C677,$D$4:$D$802)</x:f>
        <x:v>0.03689473882921488</x:v>
      </x:c>
      <x:c r="J677" s="103" t="n">
        <x:f>(D677/SUMIF($A$4:$A$802,A677,$D$4:$D$802))/(SUMIF($C$4:$C$802,C677,$D$4:$D$802)/SUM($D$4:$D$802))</x:f>
        <x:v>0.9255658702704653</x:v>
      </x:c>
    </x:row>
    <x:row r="678">
      <x:c r="A678" s="101" t="str">
        <x:v>福岡県</x:v>
      </x:c>
      <x:c r="B678" s="101" t="str">
        <x:v>M</x:v>
      </x:c>
      <x:c r="C678" s="101" t="str">
        <x:v>宿泊業，飲食サービス業</x:v>
      </x:c>
      <x:c r="D678" s="102" t="n">
        <x:v>195226</x:v>
      </x:c>
      <x:c r="E678" s="102" t="n">
        <x:f>1+COUNTIFS($C$4:$C$802,C678,$D$4:$D$802,"&gt;"&amp;D678)</x:f>
        <x:v>6</x:v>
      </x:c>
      <x:c r="F678" s="102" t="n">
        <x:v>5135214</x:v>
      </x:c>
      <x:c r="G678" s="126" t="n">
        <x:f>D678/F678*10000</x:f>
        <x:v>380.17110874055106</x:v>
      </x:c>
      <x:c r="H678" s="127" t="n">
        <x:f>1+COUNTIFS($C$4:$C$802,C678,$G$4:$G$802,"&gt;"&amp;G678)</x:f>
        <x:v>12</x:v>
      </x:c>
      <x:c r="I678" s="128" t="n">
        <x:f>D678/SUMIF($C$4:$C$802,C678,$D$4:$D$802)</x:f>
        <x:v>0.04172620015777755</x:v>
      </x:c>
      <x:c r="J678" s="103" t="n">
        <x:f>(D678/SUMIF($A$4:$A$802,A678,$D$4:$D$802))/(SUMIF($C$4:$C$802,C678,$D$4:$D$802)/SUM($D$4:$D$802))</x:f>
        <x:v>1.0467711112114368</x:v>
      </x:c>
    </x:row>
    <x:row r="679">
      <x:c r="A679" s="101" t="str">
        <x:v>福岡県</x:v>
      </x:c>
      <x:c r="B679" s="101" t="str">
        <x:v>N</x:v>
      </x:c>
      <x:c r="C679" s="101" t="str">
        <x:v>生活関連サービス業，娯楽業</x:v>
      </x:c>
      <x:c r="D679" s="102" t="n">
        <x:v>83225</x:v>
      </x:c>
      <x:c r="E679" s="102" t="n">
        <x:f>1+COUNTIFS($C$4:$C$802,C679,$D$4:$D$802,"&gt;"&amp;D679)</x:f>
        <x:v>9</x:v>
      </x:c>
      <x:c r="F679" s="102" t="n">
        <x:v>5135214</x:v>
      </x:c>
      <x:c r="G679" s="126" t="n">
        <x:f>D679/F679*10000</x:f>
        <x:v>162.0672478303728</x:v>
      </x:c>
      <x:c r="H679" s="127" t="n">
        <x:f>1+COUNTIFS($C$4:$C$802,C679,$G$4:$G$802,"&gt;"&amp;G679)</x:f>
        <x:v>33</x:v>
      </x:c>
      <x:c r="I679" s="128" t="n">
        <x:f>D679/SUMIF($C$4:$C$802,C679,$D$4:$D$802)</x:f>
        <x:v>0.03824434009040783</x:v>
      </x:c>
      <x:c r="J679" s="103" t="n">
        <x:f>(D679/SUMIF($A$4:$A$802,A679,$D$4:$D$802))/(SUMIF($C$4:$C$802,C679,$D$4:$D$802)/SUM($D$4:$D$802))</x:f>
        <x:v>0.9594228619574491</x:v>
      </x:c>
    </x:row>
    <x:row r="680">
      <x:c r="A680" s="101" t="str">
        <x:v>福岡県</x:v>
      </x:c>
      <x:c r="B680" s="101" t="str">
        <x:v>O</x:v>
      </x:c>
      <x:c r="C680" s="101" t="str">
        <x:v>教育，学習支援業</x:v>
      </x:c>
      <x:c r="D680" s="102" t="n">
        <x:v>73936</x:v>
      </x:c>
      <x:c r="E680" s="102" t="n">
        <x:f>1+COUNTIFS($C$4:$C$802,C680,$D$4:$D$802,"&gt;"&amp;D680)</x:f>
        <x:v>8</x:v>
      </x:c>
      <x:c r="F680" s="102" t="n">
        <x:v>5135214</x:v>
      </x:c>
      <x:c r="G680" s="126" t="n">
        <x:f>D680/F680*10000</x:f>
        <x:v>143.97842037352288</x:v>
      </x:c>
      <x:c r="H680" s="127" t="n">
        <x:f>1+COUNTIFS($C$4:$C$802,C680,$G$4:$G$802,"&gt;"&amp;G680)</x:f>
        <x:v>17</x:v>
      </x:c>
      <x:c r="I680" s="128" t="n">
        <x:f>D680/SUMIF($C$4:$C$802,C680,$D$4:$D$802)</x:f>
        <x:v>0.03790163087330205</x:v>
      </x:c>
      <x:c r="J680" s="103" t="n">
        <x:f>(D680/SUMIF($A$4:$A$802,A680,$D$4:$D$802))/(SUMIF($C$4:$C$802,C680,$D$4:$D$802)/SUM($D$4:$D$802))</x:f>
        <x:v>0.9508254314064825</x:v>
      </x:c>
    </x:row>
    <x:row r="681">
      <x:c r="A681" s="101" t="str">
        <x:v>福岡県</x:v>
      </x:c>
      <x:c r="B681" s="101" t="str">
        <x:v>P</x:v>
      </x:c>
      <x:c r="C681" s="101" t="str">
        <x:v>医療，福祉</x:v>
      </x:c>
      <x:c r="D681" s="102" t="n">
        <x:v>394940</x:v>
      </x:c>
      <x:c r="E681" s="102" t="n">
        <x:f>1+COUNTIFS($C$4:$C$802,C681,$D$4:$D$802,"&gt;"&amp;D681)</x:f>
        <x:v>5</x:v>
      </x:c>
      <x:c r="F681" s="102" t="n">
        <x:v>5135214</x:v>
      </x:c>
      <x:c r="G681" s="126" t="n">
        <x:f>D681/F681*10000</x:f>
        <x:v>769.0818727320808</x:v>
      </x:c>
      <x:c r="H681" s="127" t="n">
        <x:f>1+COUNTIFS($C$4:$C$802,C681,$G$4:$G$802,"&gt;"&amp;G681)</x:f>
        <x:v>10</x:v>
      </x:c>
      <x:c r="I681" s="128" t="n">
        <x:f>D681/SUMIF($C$4:$C$802,C681,$D$4:$D$802)</x:f>
        <x:v>0.048385290695209915</x:v>
      </x:c>
      <x:c r="J681" s="103" t="n">
        <x:f>(D681/SUMIF($A$4:$A$802,A681,$D$4:$D$802))/(SUMIF($C$4:$C$802,C681,$D$4:$D$802)/SUM($D$4:$D$802))</x:f>
        <x:v>1.2138254697479969</x:v>
      </x:c>
    </x:row>
    <x:row r="682">
      <x:c r="A682" s="101" t="str">
        <x:v>福岡県</x:v>
      </x:c>
      <x:c r="B682" s="101" t="str">
        <x:v>Q</x:v>
      </x:c>
      <x:c r="C682" s="101" t="str">
        <x:v>複合サービス事業</x:v>
      </x:c>
      <x:c r="D682" s="102" t="n">
        <x:v>15171</x:v>
      </x:c>
      <x:c r="E682" s="102" t="n">
        <x:f>1+COUNTIFS($C$4:$C$802,C682,$D$4:$D$802,"&gt;"&amp;D682)</x:f>
        <x:v>9</x:v>
      </x:c>
      <x:c r="F682" s="102" t="n">
        <x:v>5135214</x:v>
      </x:c>
      <x:c r="G682" s="126" t="n">
        <x:f>D682/F682*10000</x:f>
        <x:v>29.543072596390335</x:v>
      </x:c>
      <x:c r="H682" s="127" t="n">
        <x:f>1+COUNTIFS($C$4:$C$802,C682,$G$4:$G$802,"&gt;"&amp;G682)</x:f>
        <x:v>41</x:v>
      </x:c>
      <x:c r="I682" s="128" t="n">
        <x:f>D682/SUMIF($C$4:$C$802,C682,$D$4:$D$802)</x:f>
        <x:v>0.034798265935729523</x:v>
      </x:c>
      <x:c r="J682" s="103" t="n">
        <x:f>(D682/SUMIF($A$4:$A$802,A682,$D$4:$D$802))/(SUMIF($C$4:$C$802,C682,$D$4:$D$802)/SUM($D$4:$D$802))</x:f>
        <x:v>0.8729723618263643</x:v>
      </x:c>
    </x:row>
    <x:row r="683">
      <x:c r="A683" s="101" t="str">
        <x:v>福岡県</x:v>
      </x:c>
      <x:c r="B683" s="101" t="str">
        <x:v>R</x:v>
      </x:c>
      <x:c r="C683" s="101" t="str">
        <x:v>サービス業（他に分類されないもの）</x:v>
      </x:c>
      <x:c r="D683" s="102" t="n">
        <x:v>225483</x:v>
      </x:c>
      <x:c r="E683" s="102" t="n">
        <x:f>1+COUNTIFS($C$4:$C$802,C683,$D$4:$D$802,"&gt;"&amp;D683)</x:f>
        <x:v>5</x:v>
      </x:c>
      <x:c r="F683" s="102" t="n">
        <x:v>5135214</x:v>
      </x:c>
      <x:c r="G683" s="126" t="n">
        <x:f>D683/F683*10000</x:f>
        <x:v>439.0917301596389</x:v>
      </x:c>
      <x:c r="H683" s="127" t="n">
        <x:f>1+COUNTIFS($C$4:$C$802,C683,$G$4:$G$802,"&gt;"&amp;G683)</x:f>
        <x:v>5</x:v>
      </x:c>
      <x:c r="I683" s="128" t="n">
        <x:f>D683/SUMIF($C$4:$C$802,C683,$D$4:$D$802)</x:f>
        <x:v>0.04307766198469835</x:v>
      </x:c>
      <x:c r="J683" s="103" t="n">
        <x:f>(D683/SUMIF($A$4:$A$802,A683,$D$4:$D$802))/(SUMIF($C$4:$C$802,C683,$D$4:$D$802)/SUM($D$4:$D$802))</x:f>
        <x:v>1.08067477828336</x:v>
      </x:c>
    </x:row>
    <x:row r="684">
      <x:c r="A684" s="101" t="str">
        <x:v>佐賀県</x:v>
      </x:c>
      <x:c r="B684" s="101" t="str">
        <x:v>AB</x:v>
      </x:c>
      <x:c r="C684" s="101" t="str">
        <x:v>農林漁業</x:v>
      </x:c>
      <x:c r="D684" s="102" t="n">
        <x:v>5549</x:v>
      </x:c>
      <x:c r="E684" s="102" t="n">
        <x:f>1+COUNTIFS($C$4:$C$802,C684,$D$4:$D$802,"&gt;"&amp;D684)</x:f>
        <x:v>36</x:v>
      </x:c>
      <x:c r="F684" s="102" t="n">
        <x:v>811442</x:v>
      </x:c>
      <x:c r="G684" s="126" t="n">
        <x:f>D684/F684*10000</x:f>
        <x:v>68.38443166609567</x:v>
      </x:c>
      <x:c r="H684" s="127" t="n">
        <x:f>1+COUNTIFS($C$4:$C$802,C684,$G$4:$G$802,"&gt;"&amp;G684)</x:f>
        <x:v>16</x:v>
      </x:c>
      <x:c r="I684" s="128" t="n">
        <x:f>D684/SUMIF($C$4:$C$802,C684,$D$4:$D$802)</x:f>
        <x:v>0.012230467949297228</x:v>
      </x:c>
      <x:c r="J684" s="103" t="n">
        <x:f>(D684/SUMIF($A$4:$A$802,A684,$D$4:$D$802))/(SUMIF($C$4:$C$802,C684,$D$4:$D$802)/SUM($D$4:$D$802))</x:f>
        <x:v>1.964636979210321</x:v>
      </x:c>
    </x:row>
    <x:row r="685">
      <x:c r="A685" s="101" t="str">
        <x:v>佐賀県</x:v>
      </x:c>
      <x:c r="B685" s="101" t="str">
        <x:v>C</x:v>
      </x:c>
      <x:c r="C685" s="101" t="str">
        <x:v>鉱業，採石業，砂利採取業</x:v>
      </x:c>
      <x:c r="D685" s="102" t="n">
        <x:v>114</x:v>
      </x:c>
      <x:c r="E685" s="102" t="n">
        <x:f>1+COUNTIFS($C$4:$C$802,C685,$D$4:$D$802,"&gt;"&amp;D685)</x:f>
        <x:v>43</x:v>
      </x:c>
      <x:c r="F685" s="102" t="n">
        <x:v>811442</x:v>
      </x:c>
      <x:c r="G685" s="126" t="n">
        <x:f>D685/F685*10000</x:f>
        <x:v>1.4049063272544433</x:v>
      </x:c>
      <x:c r="H685" s="127" t="n">
        <x:f>1+COUNTIFS($C$4:$C$802,C685,$G$4:$G$802,"&gt;"&amp;G685)</x:f>
        <x:v>28</x:v>
      </x:c>
      <x:c r="I685" s="128" t="n">
        <x:f>D685/SUMIF($C$4:$C$802,C685,$D$4:$D$802)</x:f>
        <x:v>0.005787683403563995</x:v>
      </x:c>
      <x:c r="J685" s="103" t="n">
        <x:f>(D685/SUMIF($A$4:$A$802,A685,$D$4:$D$802))/(SUMIF($C$4:$C$802,C685,$D$4:$D$802)/SUM($D$4:$D$802))</x:f>
        <x:v>0.9297025171679588</x:v>
      </x:c>
    </x:row>
    <x:row r="686">
      <x:c r="A686" s="101" t="str">
        <x:v>佐賀県</x:v>
      </x:c>
      <x:c r="B686" s="101" t="str">
        <x:v>D</x:v>
      </x:c>
      <x:c r="C686" s="101" t="str">
        <x:v>建設業</x:v>
      </x:c>
      <x:c r="D686" s="102" t="n">
        <x:v>26655</x:v>
      </x:c>
      <x:c r="E686" s="102" t="n">
        <x:f>1+COUNTIFS($C$4:$C$802,C686,$D$4:$D$802,"&gt;"&amp;D686)</x:f>
        <x:v>40</x:v>
      </x:c>
      <x:c r="F686" s="102" t="n">
        <x:v>811442</x:v>
      </x:c>
      <x:c r="G686" s="126" t="n">
        <x:f>D686/F686*10000</x:f>
        <x:v>328.48928204357185</x:v>
      </x:c>
      <x:c r="H686" s="127" t="n">
        <x:f>1+COUNTIFS($C$4:$C$802,C686,$G$4:$G$802,"&gt;"&amp;G686)</x:f>
        <x:v>16</x:v>
      </x:c>
      <x:c r="I686" s="128" t="n">
        <x:f>D686/SUMIF($C$4:$C$802,C686,$D$4:$D$802)</x:f>
        <x:v>0.007131934773098519</x:v>
      </x:c>
      <x:c r="J686" s="103" t="n">
        <x:f>(D686/SUMIF($A$4:$A$802,A686,$D$4:$D$802))/(SUMIF($C$4:$C$802,C686,$D$4:$D$802)/SUM($D$4:$D$802))</x:f>
        <x:v>1.1456358699137463</x:v>
      </x:c>
    </x:row>
    <x:row r="687">
      <x:c r="A687" s="101" t="str">
        <x:v>佐賀県</x:v>
      </x:c>
      <x:c r="B687" s="101" t="str">
        <x:v>E</x:v>
      </x:c>
      <x:c r="C687" s="101" t="str">
        <x:v>製造業</x:v>
      </x:c>
      <x:c r="D687" s="102" t="n">
        <x:v>66085</x:v>
      </x:c>
      <x:c r="E687" s="102" t="n">
        <x:f>1+COUNTIFS($C$4:$C$802,C687,$D$4:$D$802,"&gt;"&amp;D687)</x:f>
        <x:v>37</x:v>
      </x:c>
      <x:c r="F687" s="102" t="n">
        <x:v>811442</x:v>
      </x:c>
      <x:c r="G687" s="126" t="n">
        <x:f>D687/F687*10000</x:f>
        <x:v>814.4143389176306</x:v>
      </x:c>
      <x:c r="H687" s="127" t="n">
        <x:f>1+COUNTIFS($C$4:$C$802,C687,$G$4:$G$802,"&gt;"&amp;G687)</x:f>
        <x:v>19</x:v>
      </x:c>
      <x:c r="I687" s="128" t="n">
        <x:f>D687/SUMIF($C$4:$C$802,C687,$D$4:$D$802)</x:f>
        <x:v>0.007506551549171178</x:v>
      </x:c>
      <x:c r="J687" s="103" t="n">
        <x:f>(D687/SUMIF($A$4:$A$802,A687,$D$4:$D$802))/(SUMIF($C$4:$C$802,C687,$D$4:$D$802)/SUM($D$4:$D$802))</x:f>
        <x:v>1.2058123058731887</x:v>
      </x:c>
    </x:row>
    <x:row r="688">
      <x:c r="A688" s="101" t="str">
        <x:v>佐賀県</x:v>
      </x:c>
      <x:c r="B688" s="101" t="str">
        <x:v>F</x:v>
      </x:c>
      <x:c r="C688" s="101" t="str">
        <x:v>電気・ガス・熱供給・水道業</x:v>
      </x:c>
      <x:c r="D688" s="102" t="n">
        <x:v>1665</x:v>
      </x:c>
      <x:c r="E688" s="102" t="n">
        <x:f>1+COUNTIFS($C$4:$C$802,C688,$D$4:$D$802,"&gt;"&amp;D688)</x:f>
        <x:v>34</x:v>
      </x:c>
      <x:c r="F688" s="102" t="n">
        <x:v>811442</x:v>
      </x:c>
      <x:c r="G688" s="126" t="n">
        <x:f>D688/F688*10000</x:f>
        <x:v>20.51902662174253</x:v>
      </x:c>
      <x:c r="H688" s="127" t="n">
        <x:f>1+COUNTIFS($C$4:$C$802,C688,$G$4:$G$802,"&gt;"&amp;G688)</x:f>
        <x:v>11</x:v>
      </x:c>
      <x:c r="I688" s="128" t="n">
        <x:f>D688/SUMIF($C$4:$C$802,C688,$D$4:$D$802)</x:f>
        <x:v>0.008236498820177195</x:v>
      </x:c>
      <x:c r="J688" s="103" t="n">
        <x:f>(D688/SUMIF($A$4:$A$802,A688,$D$4:$D$802))/(SUMIF($C$4:$C$802,C688,$D$4:$D$802)/SUM($D$4:$D$802))</x:f>
        <x:v>1.323067132707062</x:v>
      </x:c>
    </x:row>
    <x:row r="689">
      <x:c r="A689" s="101" t="str">
        <x:v>佐賀県</x:v>
      </x:c>
      <x:c r="B689" s="101" t="str">
        <x:v>G</x:v>
      </x:c>
      <x:c r="C689" s="101" t="str">
        <x:v>情報通信業</x:v>
      </x:c>
      <x:c r="D689" s="102" t="n">
        <x:v>3478</x:v>
      </x:c>
      <x:c r="E689" s="102" t="n">
        <x:f>1+COUNTIFS($C$4:$C$802,C689,$D$4:$D$802,"&gt;"&amp;D689)</x:f>
        <x:v>41</x:v>
      </x:c>
      <x:c r="F689" s="102" t="n">
        <x:v>811442</x:v>
      </x:c>
      <x:c r="G689" s="126" t="n">
        <x:f>D689/F689*10000</x:f>
        <x:v>42.861966720973285</x:v>
      </x:c>
      <x:c r="H689" s="127" t="n">
        <x:f>1+COUNTIFS($C$4:$C$802,C689,$G$4:$G$802,"&gt;"&amp;G689)</x:f>
        <x:v>33</x:v>
      </x:c>
      <x:c r="I689" s="128" t="n">
        <x:f>D689/SUMIF($C$4:$C$802,C689,$D$4:$D$802)</x:f>
        <x:v>0.0017505192922023375</x:v>
      </x:c>
      <x:c r="J689" s="103" t="n">
        <x:f>(D689/SUMIF($A$4:$A$802,A689,$D$4:$D$802))/(SUMIF($C$4:$C$802,C689,$D$4:$D$802)/SUM($D$4:$D$802))</x:f>
        <x:v>0.28119405966632743</x:v>
      </x:c>
    </x:row>
    <x:row r="690">
      <x:c r="A690" s="101" t="str">
        <x:v>佐賀県</x:v>
      </x:c>
      <x:c r="B690" s="101" t="str">
        <x:v>H</x:v>
      </x:c>
      <x:c r="C690" s="101" t="str">
        <x:v>運輸業，郵便業</x:v>
      </x:c>
      <x:c r="D690" s="102" t="n">
        <x:v>20519</x:v>
      </x:c>
      <x:c r="E690" s="102" t="n">
        <x:f>1+COUNTIFS($C$4:$C$802,C690,$D$4:$D$802,"&gt;"&amp;D690)</x:f>
        <x:v>37</x:v>
      </x:c>
      <x:c r="F690" s="102" t="n">
        <x:v>811442</x:v>
      </x:c>
      <x:c r="G690" s="126" t="n">
        <x:f>D690/F690*10000</x:f>
        <x:v>252.87081516608703</x:v>
      </x:c>
      <x:c r="H690" s="127" t="n">
        <x:f>1+COUNTIFS($C$4:$C$802,C690,$G$4:$G$802,"&gt;"&amp;G690)</x:f>
        <x:v>17</x:v>
      </x:c>
      <x:c r="I690" s="128" t="n">
        <x:f>D690/SUMIF($C$4:$C$802,C690,$D$4:$D$802)</x:f>
        <x:v>0.006285044968441533</x:v>
      </x:c>
      <x:c r="J690" s="103" t="n">
        <x:f>(D690/SUMIF($A$4:$A$802,A690,$D$4:$D$802))/(SUMIF($C$4:$C$802,C690,$D$4:$D$802)/SUM($D$4:$D$802))</x:f>
        <x:v>1.0095960197262541</x:v>
      </x:c>
    </x:row>
    <x:row r="691">
      <x:c r="A691" s="101" t="str">
        <x:v>佐賀県</x:v>
      </x:c>
      <x:c r="B691" s="101" t="str">
        <x:v>I</x:v>
      </x:c>
      <x:c r="C691" s="101" t="str">
        <x:v>卸売業，小売業</x:v>
      </x:c>
      <x:c r="D691" s="102" t="n">
        <x:v>68287</x:v>
      </x:c>
      <x:c r="E691" s="102" t="n">
        <x:f>1+COUNTIFS($C$4:$C$802,C691,$D$4:$D$802,"&gt;"&amp;D691)</x:f>
        <x:v>43</x:v>
      </x:c>
      <x:c r="F691" s="102" t="n">
        <x:v>811442</x:v>
      </x:c>
      <x:c r="G691" s="126" t="n">
        <x:f>D691/F691*10000</x:f>
        <x:v>841.5512137651243</x:v>
      </x:c>
      <x:c r="H691" s="127" t="n">
        <x:f>1+COUNTIFS($C$4:$C$802,C691,$G$4:$G$802,"&gt;"&amp;G691)</x:f>
        <x:v>30</x:v>
      </x:c>
      <x:c r="I691" s="128" t="n">
        <x:f>D691/SUMIF($C$4:$C$802,C691,$D$4:$D$802)</x:f>
        <x:v>0.005880765323644901</x:v>
      </x:c>
      <x:c r="J691" s="103" t="n">
        <x:f>(D691/SUMIF($A$4:$A$802,A691,$D$4:$D$802))/(SUMIF($C$4:$C$802,C691,$D$4:$D$802)/SUM($D$4:$D$802))</x:f>
        <x:v>0.944654699132293</x:v>
      </x:c>
    </x:row>
    <x:row r="692">
      <x:c r="A692" s="101" t="str">
        <x:v>佐賀県</x:v>
      </x:c>
      <x:c r="B692" s="101" t="str">
        <x:v>J</x:v>
      </x:c>
      <x:c r="C692" s="101" t="str">
        <x:v>金融業，保険業</x:v>
      </x:c>
      <x:c r="D692" s="102" t="n">
        <x:v>7619</x:v>
      </x:c>
      <x:c r="E692" s="102" t="n">
        <x:f>1+COUNTIFS($C$4:$C$802,C692,$D$4:$D$802,"&gt;"&amp;D692)</x:f>
        <x:v>44</x:v>
      </x:c>
      <x:c r="F692" s="102" t="n">
        <x:v>811442</x:v>
      </x:c>
      <x:c r="G692" s="126" t="n">
        <x:f>D692/F692*10000</x:f>
        <x:v>93.89457287150529</x:v>
      </x:c>
      <x:c r="H692" s="127" t="n">
        <x:f>1+COUNTIFS($C$4:$C$802,C692,$G$4:$G$802,"&gt;"&amp;G692)</x:f>
        <x:v>31</x:v>
      </x:c>
      <x:c r="I692" s="128" t="n">
        <x:f>D692/SUMIF($C$4:$C$802,C692,$D$4:$D$802)</x:f>
        <x:v>0.005098244421306767</x:v>
      </x:c>
      <x:c r="J692" s="103" t="n">
        <x:f>(D692/SUMIF($A$4:$A$802,A692,$D$4:$D$802))/(SUMIF($C$4:$C$802,C692,$D$4:$D$802)/SUM($D$4:$D$802))</x:f>
        <x:v>0.818954725254608</x:v>
      </x:c>
    </x:row>
    <x:row r="693">
      <x:c r="A693" s="101" t="str">
        <x:v>佐賀県</x:v>
      </x:c>
      <x:c r="B693" s="101" t="str">
        <x:v>K</x:v>
      </x:c>
      <x:c r="C693" s="101" t="str">
        <x:v>不動産業，物品賃貸業</x:v>
      </x:c>
      <x:c r="D693" s="102" t="n">
        <x:v>4936</x:v>
      </x:c>
      <x:c r="E693" s="102" t="n">
        <x:f>1+COUNTIFS($C$4:$C$802,C693,$D$4:$D$802,"&gt;"&amp;D693)</x:f>
        <x:v>46</x:v>
      </x:c>
      <x:c r="F693" s="102" t="n">
        <x:v>811442</x:v>
      </x:c>
      <x:c r="G693" s="126" t="n">
        <x:f>D693/F693*10000</x:f>
        <x:v>60.82997922217484</x:v>
      </x:c>
      <x:c r="H693" s="127" t="n">
        <x:f>1+COUNTIFS($C$4:$C$802,C693,$G$4:$G$802,"&gt;"&amp;G693)</x:f>
        <x:v>47</x:v>
      </x:c>
      <x:c r="I693" s="128" t="n">
        <x:f>D693/SUMIF($C$4:$C$802,C693,$D$4:$D$802)</x:f>
        <x:v>0.003050419679903692</x:v>
      </x:c>
      <x:c r="J693" s="103" t="n">
        <x:f>(D693/SUMIF($A$4:$A$802,A693,$D$4:$D$802))/(SUMIF($C$4:$C$802,C693,$D$4:$D$802)/SUM($D$4:$D$802))</x:f>
        <x:v>0.4900031078200949</x:v>
      </x:c>
    </x:row>
    <x:row r="694">
      <x:c r="A694" s="101" t="str">
        <x:v>佐賀県</x:v>
      </x:c>
      <x:c r="B694" s="101" t="str">
        <x:v>L</x:v>
      </x:c>
      <x:c r="C694" s="101" t="str">
        <x:v>学術研究，専門・技術サービス業</x:v>
      </x:c>
      <x:c r="D694" s="102" t="n">
        <x:v>6461</x:v>
      </x:c>
      <x:c r="E694" s="102" t="n">
        <x:f>1+COUNTIFS($C$4:$C$802,C694,$D$4:$D$802,"&gt;"&amp;D694)</x:f>
        <x:v>45</x:v>
      </x:c>
      <x:c r="F694" s="102" t="n">
        <x:v>811442</x:v>
      </x:c>
      <x:c r="G694" s="126" t="n">
        <x:f>D694/F694*10000</x:f>
        <x:v>79.6236822841312</x:v>
      </x:c>
      <x:c r="H694" s="127" t="n">
        <x:f>1+COUNTIFS($C$4:$C$802,C694,$G$4:$G$802,"&gt;"&amp;G694)</x:f>
        <x:v>46</x:v>
      </x:c>
      <x:c r="I694" s="128" t="n">
        <x:f>D694/SUMIF($C$4:$C$802,C694,$D$4:$D$802)</x:f>
        <x:v>0.0030491948728597587</x:v>
      </x:c>
      <x:c r="J694" s="103" t="n">
        <x:f>(D694/SUMIF($A$4:$A$802,A694,$D$4:$D$802))/(SUMIF($C$4:$C$802,C694,$D$4:$D$802)/SUM($D$4:$D$802))</x:f>
        <x:v>0.48980636136518546</x:v>
      </x:c>
    </x:row>
    <x:row r="695">
      <x:c r="A695" s="101" t="str">
        <x:v>佐賀県</x:v>
      </x:c>
      <x:c r="B695" s="101" t="str">
        <x:v>M</x:v>
      </x:c>
      <x:c r="C695" s="101" t="str">
        <x:v>宿泊業，飲食サービス業</x:v>
      </x:c>
      <x:c r="D695" s="102" t="n">
        <x:v>28061</x:v>
      </x:c>
      <x:c r="E695" s="102" t="n">
        <x:f>1+COUNTIFS($C$4:$C$802,C695,$D$4:$D$802,"&gt;"&amp;D695)</x:f>
        <x:v>43</x:v>
      </x:c>
      <x:c r="F695" s="102" t="n">
        <x:v>811442</x:v>
      </x:c>
      <x:c r="G695" s="126" t="n">
        <x:f>D695/F695*10000</x:f>
        <x:v>345.81646007970994</x:v>
      </x:c>
      <x:c r="H695" s="127" t="n">
        <x:f>1+COUNTIFS($C$4:$C$802,C695,$G$4:$G$802,"&gt;"&amp;G695)</x:f>
        <x:v>23</x:v>
      </x:c>
      <x:c r="I695" s="128" t="n">
        <x:f>D695/SUMIF($C$4:$C$802,C695,$D$4:$D$802)</x:f>
        <x:v>0.0059975561791328815</x:v>
      </x:c>
      <x:c r="J695" s="103" t="n">
        <x:f>(D695/SUMIF($A$4:$A$802,A695,$D$4:$D$802))/(SUMIF($C$4:$C$802,C695,$D$4:$D$802)/SUM($D$4:$D$802))</x:f>
        <x:v>0.9634153577167817</x:v>
      </x:c>
    </x:row>
    <x:row r="696">
      <x:c r="A696" s="101" t="str">
        <x:v>佐賀県</x:v>
      </x:c>
      <x:c r="B696" s="101" t="str">
        <x:v>N</x:v>
      </x:c>
      <x:c r="C696" s="101" t="str">
        <x:v>生活関連サービス業，娯楽業</x:v>
      </x:c>
      <x:c r="D696" s="102" t="n">
        <x:v>13175</x:v>
      </x:c>
      <x:c r="E696" s="102" t="n">
        <x:f>1+COUNTIFS($C$4:$C$802,C696,$D$4:$D$802,"&gt;"&amp;D696)</x:f>
        <x:v>42</x:v>
      </x:c>
      <x:c r="F696" s="102" t="n">
        <x:v>811442</x:v>
      </x:c>
      <x:c r="G696" s="126" t="n">
        <x:f>D696/F696*10000</x:f>
        <x:v>162.36527071559027</x:v>
      </x:c>
      <x:c r="H696" s="127" t="n">
        <x:f>1+COUNTIFS($C$4:$C$802,C696,$G$4:$G$802,"&gt;"&amp;G696)</x:f>
        <x:v>31</x:v>
      </x:c>
      <x:c r="I696" s="128" t="n">
        <x:f>D696/SUMIF($C$4:$C$802,C696,$D$4:$D$802)</x:f>
        <x:v>0.006054300759280542</x:v>
      </x:c>
      <x:c r="J696" s="103" t="n">
        <x:f>(D696/SUMIF($A$4:$A$802,A696,$D$4:$D$802))/(SUMIF($C$4:$C$802,C696,$D$4:$D$802)/SUM($D$4:$D$802))</x:f>
        <x:v>0.9725305036776737</x:v>
      </x:c>
    </x:row>
    <x:row r="697">
      <x:c r="A697" s="101" t="str">
        <x:v>佐賀県</x:v>
      </x:c>
      <x:c r="B697" s="101" t="str">
        <x:v>O</x:v>
      </x:c>
      <x:c r="C697" s="101" t="str">
        <x:v>教育，学習支援業</x:v>
      </x:c>
      <x:c r="D697" s="102" t="n">
        <x:v>11089</x:v>
      </x:c>
      <x:c r="E697" s="102" t="n">
        <x:f>1+COUNTIFS($C$4:$C$802,C697,$D$4:$D$802,"&gt;"&amp;D697)</x:f>
        <x:v>41</x:v>
      </x:c>
      <x:c r="F697" s="102" t="n">
        <x:v>811442</x:v>
      </x:c>
      <x:c r="G697" s="126" t="n">
        <x:f>D697/F697*10000</x:f>
        <x:v>136.6579496747765</x:v>
      </x:c>
      <x:c r="H697" s="127" t="n">
        <x:f>1+COUNTIFS($C$4:$C$802,C697,$G$4:$G$802,"&gt;"&amp;G697)</x:f>
        <x:v>20</x:v>
      </x:c>
      <x:c r="I697" s="128" t="n">
        <x:f>D697/SUMIF($C$4:$C$802,C697,$D$4:$D$802)</x:f>
        <x:v>0.005684526952418936</x:v>
      </x:c>
      <x:c r="J697" s="103" t="n">
        <x:f>(D697/SUMIF($A$4:$A$802,A697,$D$4:$D$802))/(SUMIF($C$4:$C$802,C697,$D$4:$D$802)/SUM($D$4:$D$802))</x:f>
        <x:v>0.9131320163985807</x:v>
      </x:c>
    </x:row>
    <x:row r="698">
      <x:c r="A698" s="101" t="str">
        <x:v>佐賀県</x:v>
      </x:c>
      <x:c r="B698" s="101" t="str">
        <x:v>P</x:v>
      </x:c>
      <x:c r="C698" s="101" t="str">
        <x:v>医療，福祉</x:v>
      </x:c>
      <x:c r="D698" s="102" t="n">
        <x:v>67063</x:v>
      </x:c>
      <x:c r="E698" s="102" t="n">
        <x:f>1+COUNTIFS($C$4:$C$802,C698,$D$4:$D$802,"&gt;"&amp;D698)</x:f>
        <x:v>39</x:v>
      </x:c>
      <x:c r="F698" s="102" t="n">
        <x:v>811442</x:v>
      </x:c>
      <x:c r="G698" s="126" t="n">
        <x:f>D698/F698*10000</x:f>
        <x:v>826.4669563567081</x:v>
      </x:c>
      <x:c r="H698" s="127" t="n">
        <x:f>1+COUNTIFS($C$4:$C$802,C698,$G$4:$G$802,"&gt;"&amp;G698)</x:f>
        <x:v>3</x:v>
      </x:c>
      <x:c r="I698" s="128" t="n">
        <x:f>D698/SUMIF($C$4:$C$802,C698,$D$4:$D$802)</x:f>
        <x:v>0.008216090418526516</x:v>
      </x:c>
      <x:c r="J698" s="103" t="n">
        <x:f>(D698/SUMIF($A$4:$A$802,A698,$D$4:$D$802))/(SUMIF($C$4:$C$802,C698,$D$4:$D$802)/SUM($D$4:$D$802))</x:f>
        <x:v>1.3197888361827</x:v>
      </x:c>
    </x:row>
    <x:row r="699">
      <x:c r="A699" s="101" t="str">
        <x:v>佐賀県</x:v>
      </x:c>
      <x:c r="B699" s="101" t="str">
        <x:v>Q</x:v>
      </x:c>
      <x:c r="C699" s="101" t="str">
        <x:v>複合サービス事業</x:v>
      </x:c>
      <x:c r="D699" s="102" t="n">
        <x:v>3888</x:v>
      </x:c>
      <x:c r="E699" s="102" t="n">
        <x:f>1+COUNTIFS($C$4:$C$802,C699,$D$4:$D$802,"&gt;"&amp;D699)</x:f>
        <x:v>43</x:v>
      </x:c>
      <x:c r="F699" s="102" t="n">
        <x:v>811442</x:v>
      </x:c>
      <x:c r="G699" s="126" t="n">
        <x:f>D699/F699*10000</x:f>
        <x:v>47.914700003204175</x:v>
      </x:c>
      <x:c r="H699" s="127" t="n">
        <x:f>1+COUNTIFS($C$4:$C$802,C699,$G$4:$G$802,"&gt;"&amp;G699)</x:f>
        <x:v>16</x:v>
      </x:c>
      <x:c r="I699" s="128" t="n">
        <x:f>D699/SUMIF($C$4:$C$802,C699,$D$4:$D$802)</x:f>
        <x:v>0.008918044819597678</x:v>
      </x:c>
      <x:c r="J699" s="103" t="n">
        <x:f>(D699/SUMIF($A$4:$A$802,A699,$D$4:$D$802))/(SUMIF($C$4:$C$802,C699,$D$4:$D$802)/SUM($D$4:$D$802))</x:f>
        <x:v>1.432547038058621</x:v>
      </x:c>
    </x:row>
    <x:row r="700">
      <x:c r="A700" s="101" t="str">
        <x:v>佐賀県</x:v>
      </x:c>
      <x:c r="B700" s="101" t="str">
        <x:v>R</x:v>
      </x:c>
      <x:c r="C700" s="101" t="str">
        <x:v>サービス業（他に分類されないもの）</x:v>
      </x:c>
      <x:c r="D700" s="102" t="n">
        <x:v>26112</x:v>
      </x:c>
      <x:c r="E700" s="102" t="n">
        <x:f>1+COUNTIFS($C$4:$C$802,C700,$D$4:$D$802,"&gt;"&amp;D700)</x:f>
        <x:v>44</x:v>
      </x:c>
      <x:c r="F700" s="102" t="n">
        <x:v>811442</x:v>
      </x:c>
      <x:c r="G700" s="126" t="n">
        <x:f>D700/F700*10000</x:f>
        <x:v>321.79749137954406</x:v>
      </x:c>
      <x:c r="H700" s="127" t="n">
        <x:f>1+COUNTIFS($C$4:$C$802,C700,$G$4:$G$802,"&gt;"&amp;G700)</x:f>
        <x:v>30</x:v>
      </x:c>
      <x:c r="I700" s="128" t="n">
        <x:f>D700/SUMIF($C$4:$C$802,C700,$D$4:$D$802)</x:f>
        <x:v>0.004988597409757912</x:v>
      </x:c>
      <x:c r="J700" s="103" t="n">
        <x:f>(D700/SUMIF($A$4:$A$802,A700,$D$4:$D$802))/(SUMIF($C$4:$C$802,C700,$D$4:$D$802)/SUM($D$4:$D$802))</x:f>
        <x:v>0.8013416155647893</x:v>
      </x:c>
    </x:row>
    <x:row r="701">
      <x:c r="A701" s="101" t="str">
        <x:v>長崎県</x:v>
      </x:c>
      <x:c r="B701" s="101" t="str">
        <x:v>AB</x:v>
      </x:c>
      <x:c r="C701" s="101" t="str">
        <x:v>農林漁業</x:v>
      </x:c>
      <x:c r="D701" s="102" t="n">
        <x:v>8823</x:v>
      </x:c>
      <x:c r="E701" s="102" t="n">
        <x:f>1+COUNTIFS($C$4:$C$802,C701,$D$4:$D$802,"&gt;"&amp;D701)</x:f>
        <x:v>26</x:v>
      </x:c>
      <x:c r="F701" s="102" t="n">
        <x:v>1312317</x:v>
      </x:c>
      <x:c r="G701" s="126" t="n">
        <x:f>D701/F701*10000</x:f>
        <x:v>67.23223123681244</x:v>
      </x:c>
      <x:c r="H701" s="127" t="n">
        <x:f>1+COUNTIFS($C$4:$C$802,C701,$G$4:$G$802,"&gt;"&amp;G701)</x:f>
        <x:v>17</x:v>
      </x:c>
      <x:c r="I701" s="128" t="n">
        <x:f>D701/SUMIF($C$4:$C$802,C701,$D$4:$D$802)</x:f>
        <x:v>0.019446642407037203</x:v>
      </x:c>
      <x:c r="J701" s="103" t="n">
        <x:f>(D701/SUMIF($A$4:$A$802,A701,$D$4:$D$802))/(SUMIF($C$4:$C$802,C701,$D$4:$D$802)/SUM($D$4:$D$802))</x:f>
        <x:v>2.1425159928956172</x:v>
      </x:c>
    </x:row>
    <x:row r="702">
      <x:c r="A702" s="101" t="str">
        <x:v>長崎県</x:v>
      </x:c>
      <x:c r="B702" s="101" t="str">
        <x:v>C</x:v>
      </x:c>
      <x:c r="C702" s="101" t="str">
        <x:v>鉱業，採石業，砂利採取業</x:v>
      </x:c>
      <x:c r="D702" s="102" t="n">
        <x:v>411</x:v>
      </x:c>
      <x:c r="E702" s="102" t="n">
        <x:f>1+COUNTIFS($C$4:$C$802,C702,$D$4:$D$802,"&gt;"&amp;D702)</x:f>
        <x:v>21</x:v>
      </x:c>
      <x:c r="F702" s="102" t="n">
        <x:v>1312317</x:v>
      </x:c>
      <x:c r="G702" s="126" t="n">
        <x:f>D702/F702*10000</x:f>
        <x:v>3.1318652429252993</x:v>
      </x:c>
      <x:c r="H702" s="127" t="n">
        <x:f>1+COUNTIFS($C$4:$C$802,C702,$G$4:$G$802,"&gt;"&amp;G702)</x:f>
        <x:v>10</x:v>
      </x:c>
      <x:c r="I702" s="128" t="n">
        <x:f>D702/SUMIF($C$4:$C$802,C702,$D$4:$D$802)</x:f>
        <x:v>0.020866121744428087</x:v>
      </x:c>
      <x:c r="J702" s="103" t="n">
        <x:f>(D702/SUMIF($A$4:$A$802,A702,$D$4:$D$802))/(SUMIF($C$4:$C$802,C702,$D$4:$D$802)/SUM($D$4:$D$802))</x:f>
        <x:v>2.298905827103927</x:v>
      </x:c>
    </x:row>
    <x:row r="703">
      <x:c r="A703" s="101" t="str">
        <x:v>長崎県</x:v>
      </x:c>
      <x:c r="B703" s="101" t="str">
        <x:v>D</x:v>
      </x:c>
      <x:c r="C703" s="101" t="str">
        <x:v>建設業</x:v>
      </x:c>
      <x:c r="D703" s="102" t="n">
        <x:v>40658</x:v>
      </x:c>
      <x:c r="E703" s="102" t="n">
        <x:f>1+COUNTIFS($C$4:$C$802,C703,$D$4:$D$802,"&gt;"&amp;D703)</x:f>
        <x:v>30</x:v>
      </x:c>
      <x:c r="F703" s="102" t="n">
        <x:v>1312317</x:v>
      </x:c>
      <x:c r="G703" s="126" t="n">
        <x:f>D703/F703*10000</x:f>
        <x:v>309.8184356371212</x:v>
      </x:c>
      <x:c r="H703" s="127" t="n">
        <x:f>1+COUNTIFS($C$4:$C$802,C703,$G$4:$G$802,"&gt;"&amp;G703)</x:f>
        <x:v>26</x:v>
      </x:c>
      <x:c r="I703" s="128" t="n">
        <x:f>D703/SUMIF($C$4:$C$802,C703,$D$4:$D$802)</x:f>
        <x:v>0.010878642056073516</x:v>
      </x:c>
      <x:c r="J703" s="103" t="n">
        <x:f>(D703/SUMIF($A$4:$A$802,A703,$D$4:$D$802))/(SUMIF($C$4:$C$802,C703,$D$4:$D$802)/SUM($D$4:$D$802))</x:f>
        <x:v>1.1985444118461277</x:v>
      </x:c>
    </x:row>
    <x:row r="704">
      <x:c r="A704" s="101" t="str">
        <x:v>長崎県</x:v>
      </x:c>
      <x:c r="B704" s="101" t="str">
        <x:v>E</x:v>
      </x:c>
      <x:c r="C704" s="101" t="str">
        <x:v>製造業</x:v>
      </x:c>
      <x:c r="D704" s="102" t="n">
        <x:v>62362</x:v>
      </x:c>
      <x:c r="E704" s="102" t="n">
        <x:f>1+COUNTIFS($C$4:$C$802,C704,$D$4:$D$802,"&gt;"&amp;D704)</x:f>
        <x:v>39</x:v>
      </x:c>
      <x:c r="F704" s="102" t="n">
        <x:v>1312317</x:v>
      </x:c>
      <x:c r="G704" s="126" t="n">
        <x:f>D704/F704*10000</x:f>
        <x:v>475.20530481583336</x:v>
      </x:c>
      <x:c r="H704" s="127" t="n">
        <x:f>1+COUNTIFS($C$4:$C$802,C704,$G$4:$G$802,"&gt;"&amp;G704)</x:f>
        <x:v>41</x:v>
      </x:c>
      <x:c r="I704" s="128" t="n">
        <x:f>D704/SUMIF($C$4:$C$802,C704,$D$4:$D$802)</x:f>
        <x:v>0.007083658435490853</x:v>
      </x:c>
      <x:c r="J704" s="103" t="n">
        <x:f>(D704/SUMIF($A$4:$A$802,A704,$D$4:$D$802))/(SUMIF($C$4:$C$802,C704,$D$4:$D$802)/SUM($D$4:$D$802))</x:f>
        <x:v>0.7804355717857503</x:v>
      </x:c>
    </x:row>
    <x:row r="705">
      <x:c r="A705" s="101" t="str">
        <x:v>長崎県</x:v>
      </x:c>
      <x:c r="B705" s="101" t="str">
        <x:v>F</x:v>
      </x:c>
      <x:c r="C705" s="101" t="str">
        <x:v>電気・ガス・熱供給・水道業</x:v>
      </x:c>
      <x:c r="D705" s="102" t="n">
        <x:v>1529</x:v>
      </x:c>
      <x:c r="E705" s="102" t="n">
        <x:f>1+COUNTIFS($C$4:$C$802,C705,$D$4:$D$802,"&gt;"&amp;D705)</x:f>
        <x:v>37</x:v>
      </x:c>
      <x:c r="F705" s="102" t="n">
        <x:v>1312317</x:v>
      </x:c>
      <x:c r="G705" s="126" t="n">
        <x:f>D705/F705*10000</x:f>
        <x:v>11.651148312488521</x:v>
      </x:c>
      <x:c r="H705" s="127" t="n">
        <x:f>1+COUNTIFS($C$4:$C$802,C705,$G$4:$G$802,"&gt;"&amp;G705)</x:f>
        <x:v>37</x:v>
      </x:c>
      <x:c r="I705" s="128" t="n">
        <x:f>D705/SUMIF($C$4:$C$802,C705,$D$4:$D$802)</x:f>
        <x:v>0.007563727745375936</x:v>
      </x:c>
      <x:c r="J705" s="103" t="n">
        <x:f>(D705/SUMIF($A$4:$A$802,A705,$D$4:$D$802))/(SUMIF($C$4:$C$802,C705,$D$4:$D$802)/SUM($D$4:$D$802))</x:f>
        <x:v>0.8333267677361086</x:v>
      </x:c>
    </x:row>
    <x:row r="706">
      <x:c r="A706" s="101" t="str">
        <x:v>長崎県</x:v>
      </x:c>
      <x:c r="B706" s="101" t="str">
        <x:v>G</x:v>
      </x:c>
      <x:c r="C706" s="101" t="str">
        <x:v>情報通信業</x:v>
      </x:c>
      <x:c r="D706" s="102" t="n">
        <x:v>5423</x:v>
      </x:c>
      <x:c r="E706" s="102" t="n">
        <x:f>1+COUNTIFS($C$4:$C$802,C706,$D$4:$D$802,"&gt;"&amp;D706)</x:f>
        <x:v>34</x:v>
      </x:c>
      <x:c r="F706" s="102" t="n">
        <x:v>1312317</x:v>
      </x:c>
      <x:c r="G706" s="126" t="n">
        <x:f>D706/F706*10000</x:f>
        <x:v>41.3238569644377</x:v>
      </x:c>
      <x:c r="H706" s="127" t="n">
        <x:f>1+COUNTIFS($C$4:$C$802,C706,$G$4:$G$802,"&gt;"&amp;G706)</x:f>
        <x:v>36</x:v>
      </x:c>
      <x:c r="I706" s="128" t="n">
        <x:f>D706/SUMIF($C$4:$C$802,C706,$D$4:$D$802)</x:f>
        <x:v>0.0027294612195552835</x:v>
      </x:c>
      <x:c r="J706" s="103" t="n">
        <x:f>(D706/SUMIF($A$4:$A$802,A706,$D$4:$D$802))/(SUMIF($C$4:$C$802,C706,$D$4:$D$802)/SUM($D$4:$D$802))</x:f>
        <x:v>0.30071588670594224</x:v>
      </x:c>
    </x:row>
    <x:row r="707">
      <x:c r="A707" s="101" t="str">
        <x:v>長崎県</x:v>
      </x:c>
      <x:c r="B707" s="101" t="str">
        <x:v>H</x:v>
      </x:c>
      <x:c r="C707" s="101" t="str">
        <x:v>運輸業，郵便業</x:v>
      </x:c>
      <x:c r="D707" s="102" t="n">
        <x:v>24104</x:v>
      </x:c>
      <x:c r="E707" s="102" t="n">
        <x:f>1+COUNTIFS($C$4:$C$802,C707,$D$4:$D$802,"&gt;"&amp;D707)</x:f>
        <x:v>33</x:v>
      </x:c>
      <x:c r="F707" s="102" t="n">
        <x:v>1312317</x:v>
      </x:c>
      <x:c r="G707" s="126" t="n">
        <x:f>D707/F707*10000</x:f>
        <x:v>183.67513337097668</x:v>
      </x:c>
      <x:c r="H707" s="127" t="n">
        <x:f>1+COUNTIFS($C$4:$C$802,C707,$G$4:$G$802,"&gt;"&amp;G707)</x:f>
        <x:v>42</x:v>
      </x:c>
      <x:c r="I707" s="128" t="n">
        <x:f>D707/SUMIF($C$4:$C$802,C707,$D$4:$D$802)</x:f>
        <x:v>0.007383143619051353</x:v>
      </x:c>
      <x:c r="J707" s="103" t="n">
        <x:f>(D707/SUMIF($A$4:$A$802,A707,$D$4:$D$802))/(SUMIF($C$4:$C$802,C707,$D$4:$D$802)/SUM($D$4:$D$802))</x:f>
        <x:v>0.8134310772299939</x:v>
      </x:c>
    </x:row>
    <x:row r="708">
      <x:c r="A708" s="101" t="str">
        <x:v>長崎県</x:v>
      </x:c>
      <x:c r="B708" s="101" t="str">
        <x:v>I</x:v>
      </x:c>
      <x:c r="C708" s="101" t="str">
        <x:v>卸売業，小売業</x:v>
      </x:c>
      <x:c r="D708" s="102" t="n">
        <x:v>107763</x:v>
      </x:c>
      <x:c r="E708" s="102" t="n">
        <x:f>1+COUNTIFS($C$4:$C$802,C708,$D$4:$D$802,"&gt;"&amp;D708)</x:f>
        <x:v>30</x:v>
      </x:c>
      <x:c r="F708" s="102" t="n">
        <x:v>1312317</x:v>
      </x:c>
      <x:c r="G708" s="126" t="n">
        <x:f>D708/F708*10000</x:f>
        <x:v>821.1659225629174</x:v>
      </x:c>
      <x:c r="H708" s="127" t="n">
        <x:f>1+COUNTIFS($C$4:$C$802,C708,$G$4:$G$802,"&gt;"&amp;G708)</x:f>
        <x:v>36</x:v>
      </x:c>
      <x:c r="I708" s="128" t="n">
        <x:f>D708/SUMIF($C$4:$C$802,C708,$D$4:$D$802)</x:f>
        <x:v>0.009280374208442976</x:v>
      </x:c>
      <x:c r="J708" s="103" t="n">
        <x:f>(D708/SUMIF($A$4:$A$802,A708,$D$4:$D$802))/(SUMIF($C$4:$C$802,C708,$D$4:$D$802)/SUM($D$4:$D$802))</x:f>
        <x:v>1.0224567174871197</x:v>
      </x:c>
    </x:row>
    <x:row r="709">
      <x:c r="A709" s="101" t="str">
        <x:v>長崎県</x:v>
      </x:c>
      <x:c r="B709" s="101" t="str">
        <x:v>J</x:v>
      </x:c>
      <x:c r="C709" s="101" t="str">
        <x:v>金融業，保険業</x:v>
      </x:c>
      <x:c r="D709" s="102" t="n">
        <x:v>13980</x:v>
      </x:c>
      <x:c r="E709" s="102" t="n">
        <x:f>1+COUNTIFS($C$4:$C$802,C709,$D$4:$D$802,"&gt;"&amp;D709)</x:f>
        <x:v>25</x:v>
      </x:c>
      <x:c r="F709" s="102" t="n">
        <x:v>1312317</x:v>
      </x:c>
      <x:c r="G709" s="126" t="n">
        <x:f>D709/F709*10000</x:f>
        <x:v>106.52913891994085</x:v>
      </x:c>
      <x:c r="H709" s="127" t="n">
        <x:f>1+COUNTIFS($C$4:$C$802,C709,$G$4:$G$802,"&gt;"&amp;G709)</x:f>
        <x:v>13</x:v>
      </x:c>
      <x:c r="I709" s="128" t="n">
        <x:f>D709/SUMIF($C$4:$C$802,C709,$D$4:$D$802)</x:f>
        <x:v>0.009354699699418377</x:v>
      </x:c>
      <x:c r="J709" s="103" t="n">
        <x:f>(D709/SUMIF($A$4:$A$802,A709,$D$4:$D$802))/(SUMIF($C$4:$C$802,C709,$D$4:$D$802)/SUM($D$4:$D$802))</x:f>
        <x:v>1.0306454602922523</x:v>
      </x:c>
    </x:row>
    <x:row r="710">
      <x:c r="A710" s="101" t="str">
        <x:v>長崎県</x:v>
      </x:c>
      <x:c r="B710" s="101" t="str">
        <x:v>K</x:v>
      </x:c>
      <x:c r="C710" s="101" t="str">
        <x:v>不動産業，物品賃貸業</x:v>
      </x:c>
      <x:c r="D710" s="102" t="n">
        <x:v>11485</x:v>
      </x:c>
      <x:c r="E710" s="102" t="n">
        <x:f>1+COUNTIFS($C$4:$C$802,C710,$D$4:$D$802,"&gt;"&amp;D710)</x:f>
        <x:v>27</x:v>
      </x:c>
      <x:c r="F710" s="102" t="n">
        <x:v>1312317</x:v>
      </x:c>
      <x:c r="G710" s="126" t="n">
        <x:f>D710/F710*10000</x:f>
        <x:v>87.51696427006584</x:v>
      </x:c>
      <x:c r="H710" s="127" t="n">
        <x:f>1+COUNTIFS($C$4:$C$802,C710,$G$4:$G$802,"&gt;"&amp;G710)</x:f>
        <x:v>23</x:v>
      </x:c>
      <x:c r="I710" s="128" t="n">
        <x:f>D710/SUMIF($C$4:$C$802,C710,$D$4:$D$802)</x:f>
        <x:v>0.007097664105286446</x:v>
      </x:c>
      <x:c r="J710" s="103" t="n">
        <x:f>(D710/SUMIF($A$4:$A$802,A710,$D$4:$D$802))/(SUMIF($C$4:$C$802,C710,$D$4:$D$802)/SUM($D$4:$D$802))</x:f>
        <x:v>0.7819786336110358</x:v>
      </x:c>
    </x:row>
    <x:row r="711">
      <x:c r="A711" s="101" t="str">
        <x:v>長崎県</x:v>
      </x:c>
      <x:c r="B711" s="101" t="str">
        <x:v>L</x:v>
      </x:c>
      <x:c r="C711" s="101" t="str">
        <x:v>学術研究，専門・技術サービス業</x:v>
      </x:c>
      <x:c r="D711" s="102" t="n">
        <x:v>14121</x:v>
      </x:c>
      <x:c r="E711" s="102" t="n">
        <x:f>1+COUNTIFS($C$4:$C$802,C711,$D$4:$D$802,"&gt;"&amp;D711)</x:f>
        <x:v>27</x:v>
      </x:c>
      <x:c r="F711" s="102" t="n">
        <x:v>1312317</x:v>
      </x:c>
      <x:c r="G711" s="126" t="n">
        <x:f>D711/F711*10000</x:f>
        <x:v>107.60357444123638</x:v>
      </x:c>
      <x:c r="H711" s="127" t="n">
        <x:f>1+COUNTIFS($C$4:$C$802,C711,$G$4:$G$802,"&gt;"&amp;G711)</x:f>
        <x:v>24</x:v>
      </x:c>
      <x:c r="I711" s="128" t="n">
        <x:f>D711/SUMIF($C$4:$C$802,C711,$D$4:$D$802)</x:f>
        <x:v>0.006664244048855077</x:v>
      </x:c>
      <x:c r="J711" s="103" t="n">
        <x:f>(D711/SUMIF($A$4:$A$802,A711,$D$4:$D$802))/(SUMIF($C$4:$C$802,C711,$D$4:$D$802)/SUM($D$4:$D$802))</x:f>
        <x:v>0.7342269763784283</x:v>
      </x:c>
    </x:row>
    <x:row r="712">
      <x:c r="A712" s="101" t="str">
        <x:v>長崎県</x:v>
      </x:c>
      <x:c r="B712" s="101" t="str">
        <x:v>M</x:v>
      </x:c>
      <x:c r="C712" s="101" t="str">
        <x:v>宿泊業，飲食サービス業</x:v>
      </x:c>
      <x:c r="D712" s="102" t="n">
        <x:v>44188</x:v>
      </x:c>
      <x:c r="E712" s="102" t="n">
        <x:f>1+COUNTIFS($C$4:$C$802,C712,$D$4:$D$802,"&gt;"&amp;D712)</x:f>
        <x:v>28</x:v>
      </x:c>
      <x:c r="F712" s="102" t="n">
        <x:v>1312317</x:v>
      </x:c>
      <x:c r="G712" s="126" t="n">
        <x:f>D712/F712*10000</x:f>
        <x:v>336.7174242199103</x:v>
      </x:c>
      <x:c r="H712" s="127" t="n">
        <x:f>1+COUNTIFS($C$4:$C$802,C712,$G$4:$G$802,"&gt;"&amp;G712)</x:f>
        <x:v>27</x:v>
      </x:c>
      <x:c r="I712" s="128" t="n">
        <x:f>D712/SUMIF($C$4:$C$802,C712,$D$4:$D$802)</x:f>
        <x:v>0.009444425089751747</x:v>
      </x:c>
      <x:c r="J712" s="103" t="n">
        <x:f>(D712/SUMIF($A$4:$A$802,A712,$D$4:$D$802))/(SUMIF($C$4:$C$802,C712,$D$4:$D$802)/SUM($D$4:$D$802))</x:f>
        <x:v>1.040530872886073</x:v>
      </x:c>
    </x:row>
    <x:row r="713">
      <x:c r="A713" s="101" t="str">
        <x:v>長崎県</x:v>
      </x:c>
      <x:c r="B713" s="101" t="str">
        <x:v>N</x:v>
      </x:c>
      <x:c r="C713" s="101" t="str">
        <x:v>生活関連サービス業，娯楽業</x:v>
      </x:c>
      <x:c r="D713" s="102" t="n">
        <x:v>20518</x:v>
      </x:c>
      <x:c r="E713" s="102" t="n">
        <x:f>1+COUNTIFS($C$4:$C$802,C713,$D$4:$D$802,"&gt;"&amp;D713)</x:f>
        <x:v>31</x:v>
      </x:c>
      <x:c r="F713" s="102" t="n">
        <x:v>1312317</x:v>
      </x:c>
      <x:c r="G713" s="126" t="n">
        <x:f>D713/F713*10000</x:f>
        <x:v>156.34941862370144</x:v>
      </x:c>
      <x:c r="H713" s="127" t="n">
        <x:f>1+COUNTIFS($C$4:$C$802,C713,$G$4:$G$802,"&gt;"&amp;G713)</x:f>
        <x:v>42</x:v>
      </x:c>
      <x:c r="I713" s="128" t="n">
        <x:f>D713/SUMIF($C$4:$C$802,C713,$D$4:$D$802)</x:f>
        <x:v>0.009428625653048818</x:v>
      </x:c>
      <x:c r="J713" s="103" t="n">
        <x:f>(D713/SUMIF($A$4:$A$802,A713,$D$4:$D$802))/(SUMIF($C$4:$C$802,C713,$D$4:$D$802)/SUM($D$4:$D$802))</x:f>
        <x:v>1.0387901844368157</x:v>
      </x:c>
    </x:row>
    <x:row r="714">
      <x:c r="A714" s="101" t="str">
        <x:v>長崎県</x:v>
      </x:c>
      <x:c r="B714" s="101" t="str">
        <x:v>O</x:v>
      </x:c>
      <x:c r="C714" s="101" t="str">
        <x:v>教育，学習支援業</x:v>
      </x:c>
      <x:c r="D714" s="102" t="n">
        <x:v>16200</x:v>
      </x:c>
      <x:c r="E714" s="102" t="n">
        <x:f>1+COUNTIFS($C$4:$C$802,C714,$D$4:$D$802,"&gt;"&amp;D714)</x:f>
        <x:v>29</x:v>
      </x:c>
      <x:c r="F714" s="102" t="n">
        <x:v>1312317</x:v>
      </x:c>
      <x:c r="G714" s="126" t="n">
        <x:f>D714/F714*10000</x:f>
        <x:v>123.44578329778552</x:v>
      </x:c>
      <x:c r="H714" s="127" t="n">
        <x:f>1+COUNTIFS($C$4:$C$802,C714,$G$4:$G$802,"&gt;"&amp;G714)</x:f>
        <x:v>31</x:v>
      </x:c>
      <x:c r="I714" s="128" t="n">
        <x:f>D714/SUMIF($C$4:$C$802,C714,$D$4:$D$802)</x:f>
        <x:v>0.008304566383730432</x:v>
      </x:c>
      <x:c r="J714" s="103" t="n">
        <x:f>(D714/SUMIF($A$4:$A$802,A714,$D$4:$D$802))/(SUMIF($C$4:$C$802,C714,$D$4:$D$802)/SUM($D$4:$D$802))</x:f>
        <x:v>0.9149479853019303</x:v>
      </x:c>
    </x:row>
    <x:row r="715">
      <x:c r="A715" s="101" t="str">
        <x:v>長崎県</x:v>
      </x:c>
      <x:c r="B715" s="101" t="str">
        <x:v>P</x:v>
      </x:c>
      <x:c r="C715" s="101" t="str">
        <x:v>医療，福祉</x:v>
      </x:c>
      <x:c r="D715" s="102" t="n">
        <x:v>111684</x:v>
      </x:c>
      <x:c r="E715" s="102" t="n">
        <x:f>1+COUNTIFS($C$4:$C$802,C715,$D$4:$D$802,"&gt;"&amp;D715)</x:f>
        <x:v>22</x:v>
      </x:c>
      <x:c r="F715" s="102" t="n">
        <x:v>1312317</x:v>
      </x:c>
      <x:c r="G715" s="126" t="n">
        <x:f>D715/F715*10000</x:f>
        <x:v>851.0443741870296</x:v>
      </x:c>
      <x:c r="H715" s="127" t="n">
        <x:f>1+COUNTIFS($C$4:$C$802,C715,$G$4:$G$802,"&gt;"&amp;G715)</x:f>
        <x:v>2</x:v>
      </x:c>
      <x:c r="I715" s="128" t="n">
        <x:f>D715/SUMIF($C$4:$C$802,C715,$D$4:$D$802)</x:f>
        <x:v>0.013682743723106862</x:v>
      </x:c>
      <x:c r="J715" s="103" t="n">
        <x:f>(D715/SUMIF($A$4:$A$802,A715,$D$4:$D$802))/(SUMIF($C$4:$C$802,C715,$D$4:$D$802)/SUM($D$4:$D$802))</x:f>
        <x:v>1.5074837414010402</x:v>
      </x:c>
    </x:row>
    <x:row r="716">
      <x:c r="A716" s="101" t="str">
        <x:v>長崎県</x:v>
      </x:c>
      <x:c r="B716" s="101" t="str">
        <x:v>Q</x:v>
      </x:c>
      <x:c r="C716" s="101" t="str">
        <x:v>複合サービス事業</x:v>
      </x:c>
      <x:c r="D716" s="102" t="n">
        <x:v>5757</x:v>
      </x:c>
      <x:c r="E716" s="102" t="n">
        <x:f>1+COUNTIFS($C$4:$C$802,C716,$D$4:$D$802,"&gt;"&amp;D716)</x:f>
        <x:v>30</x:v>
      </x:c>
      <x:c r="F716" s="102" t="n">
        <x:v>1312317</x:v>
      </x:c>
      <x:c r="G716" s="126" t="n">
        <x:f>D716/F716*10000</x:f>
        <x:v>43.868973731194515</x:v>
      </x:c>
      <x:c r="H716" s="127" t="n">
        <x:f>1+COUNTIFS($C$4:$C$802,C716,$G$4:$G$802,"&gt;"&amp;G716)</x:f>
        <x:v>24</x:v>
      </x:c>
      <x:c r="I716" s="128" t="n">
        <x:f>D716/SUMIF($C$4:$C$802,C716,$D$4:$D$802)</x:f>
        <x:v>0.01320503704383329</x:v>
      </x:c>
      <x:c r="J716" s="103" t="n">
        <x:f>(D716/SUMIF($A$4:$A$802,A716,$D$4:$D$802))/(SUMIF($C$4:$C$802,C716,$D$4:$D$802)/SUM($D$4:$D$802))</x:f>
        <x:v>1.454852846111563</x:v>
      </x:c>
    </x:row>
    <x:row r="717">
      <x:c r="A717" s="101" t="str">
        <x:v>長崎県</x:v>
      </x:c>
      <x:c r="B717" s="101" t="str">
        <x:v>R</x:v>
      </x:c>
      <x:c r="C717" s="101" t="str">
        <x:v>サービス業（他に分類されないもの）</x:v>
      </x:c>
      <x:c r="D717" s="102" t="n">
        <x:v>36979</x:v>
      </x:c>
      <x:c r="E717" s="102" t="n">
        <x:f>1+COUNTIFS($C$4:$C$802,C717,$D$4:$D$802,"&gt;"&amp;D717)</x:f>
        <x:v>33</x:v>
      </x:c>
      <x:c r="F717" s="102" t="n">
        <x:v>1312317</x:v>
      </x:c>
      <x:c r="G717" s="126" t="n">
        <x:f>D717/F717*10000</x:f>
        <x:v>281.7840506523957</x:v>
      </x:c>
      <x:c r="H717" s="127" t="n">
        <x:f>1+COUNTIFS($C$4:$C$802,C717,$G$4:$G$802,"&gt;"&amp;G717)</x:f>
        <x:v>43</x:v>
      </x:c>
      <x:c r="I717" s="128" t="n">
        <x:f>D717/SUMIF($C$4:$C$802,C717,$D$4:$D$802)</x:f>
        <x:v>0.007064696063703961</x:v>
      </x:c>
      <x:c r="J717" s="103" t="n">
        <x:f>(D717/SUMIF($A$4:$A$802,A717,$D$4:$D$802))/(SUMIF($C$4:$C$802,C717,$D$4:$D$802)/SUM($D$4:$D$802))</x:f>
        <x:v>0.77834640986431</x:v>
      </x:c>
    </x:row>
    <x:row r="718">
      <x:c r="A718" s="101" t="str">
        <x:v>熊本県</x:v>
      </x:c>
      <x:c r="B718" s="101" t="str">
        <x:v>AB</x:v>
      </x:c>
      <x:c r="C718" s="101" t="str">
        <x:v>農林漁業</x:v>
      </x:c>
      <x:c r="D718" s="102" t="n">
        <x:v>11686</x:v>
      </x:c>
      <x:c r="E718" s="102" t="n">
        <x:f>1+COUNTIFS($C$4:$C$802,C718,$D$4:$D$802,"&gt;"&amp;D718)</x:f>
        <x:v>11</x:v>
      </x:c>
      <x:c r="F718" s="102" t="n">
        <x:v>1738301</x:v>
      </x:c>
      <x:c r="G718" s="126" t="n">
        <x:f>D718/F718*10000</x:f>
        <x:v>67.22656202809524</x:v>
      </x:c>
      <x:c r="H718" s="127" t="n">
        <x:f>1+COUNTIFS($C$4:$C$802,C718,$G$4:$G$802,"&gt;"&amp;G718)</x:f>
        <x:v>18</x:v>
      </x:c>
      <x:c r="I718" s="128" t="n">
        <x:f>D718/SUMIF($C$4:$C$802,C718,$D$4:$D$802)</x:f>
        <x:v>0.025756937908720023</x:v>
      </x:c>
      <x:c r="J718" s="103" t="n">
        <x:f>(D718/SUMIF($A$4:$A$802,A718,$D$4:$D$802))/(SUMIF($C$4:$C$802,C718,$D$4:$D$802)/SUM($D$4:$D$802))</x:f>
        <x:v>2.0831761298835505</x:v>
      </x:c>
    </x:row>
    <x:row r="719">
      <x:c r="A719" s="101" t="str">
        <x:v>熊本県</x:v>
      </x:c>
      <x:c r="B719" s="101" t="str">
        <x:v>C</x:v>
      </x:c>
      <x:c r="C719" s="101" t="str">
        <x:v>鉱業，採石業，砂利採取業</x:v>
      </x:c>
      <x:c r="D719" s="102" t="n">
        <x:v>292</x:v>
      </x:c>
      <x:c r="E719" s="102" t="n">
        <x:f>1+COUNTIFS($C$4:$C$802,C719,$D$4:$D$802,"&gt;"&amp;D719)</x:f>
        <x:v>27</x:v>
      </x:c>
      <x:c r="F719" s="102" t="n">
        <x:v>1738301</x:v>
      </x:c>
      <x:c r="G719" s="126" t="n">
        <x:f>D719/F719*10000</x:f>
        <x:v>1.679801139158293</x:v>
      </x:c>
      <x:c r="H719" s="127" t="n">
        <x:f>1+COUNTIFS($C$4:$C$802,C719,$G$4:$G$802,"&gt;"&amp;G719)</x:f>
        <x:v>25</x:v>
      </x:c>
      <x:c r="I719" s="128" t="n">
        <x:f>D719/SUMIF($C$4:$C$802,C719,$D$4:$D$802)</x:f>
        <x:v>0.01482459257754988</x:v>
      </x:c>
      <x:c r="J719" s="103" t="n">
        <x:f>(D719/SUMIF($A$4:$A$802,A719,$D$4:$D$802))/(SUMIF($C$4:$C$802,C719,$D$4:$D$802)/SUM($D$4:$D$802))</x:f>
        <x:v>1.198987142891142</x:v>
      </x:c>
    </x:row>
    <x:row r="720">
      <x:c r="A720" s="101" t="str">
        <x:v>熊本県</x:v>
      </x:c>
      <x:c r="B720" s="101" t="str">
        <x:v>D</x:v>
      </x:c>
      <x:c r="C720" s="101" t="str">
        <x:v>建設業</x:v>
      </x:c>
      <x:c r="D720" s="102" t="n">
        <x:v>53546</x:v>
      </x:c>
      <x:c r="E720" s="102" t="n">
        <x:f>1+COUNTIFS($C$4:$C$802,C720,$D$4:$D$802,"&gt;"&amp;D720)</x:f>
        <x:v>21</x:v>
      </x:c>
      <x:c r="F720" s="102" t="n">
        <x:v>1738301</x:v>
      </x:c>
      <x:c r="G720" s="126" t="n">
        <x:f>D720/F720*10000</x:f>
        <x:v>308.03641026496564</x:v>
      </x:c>
      <x:c r="H720" s="127" t="n">
        <x:f>1+COUNTIFS($C$4:$C$802,C720,$G$4:$G$802,"&gt;"&amp;G720)</x:f>
        <x:v>27</x:v>
      </x:c>
      <x:c r="I720" s="128" t="n">
        <x:f>D720/SUMIF($C$4:$C$802,C720,$D$4:$D$802)</x:f>
        <x:v>0.014327014794985304</x:v>
      </x:c>
      <x:c r="J720" s="103" t="n">
        <x:f>(D720/SUMIF($A$4:$A$802,A720,$D$4:$D$802))/(SUMIF($C$4:$C$802,C720,$D$4:$D$802)/SUM($D$4:$D$802))</x:f>
        <x:v>1.1587439213144035</x:v>
      </x:c>
    </x:row>
    <x:row r="721">
      <x:c r="A721" s="101" t="str">
        <x:v>熊本県</x:v>
      </x:c>
      <x:c r="B721" s="101" t="str">
        <x:v>E</x:v>
      </x:c>
      <x:c r="C721" s="101" t="str">
        <x:v>製造業</x:v>
      </x:c>
      <x:c r="D721" s="102" t="n">
        <x:v>97524</x:v>
      </x:c>
      <x:c r="E721" s="102" t="n">
        <x:f>1+COUNTIFS($C$4:$C$802,C721,$D$4:$D$802,"&gt;"&amp;D721)</x:f>
        <x:v>28</x:v>
      </x:c>
      <x:c r="F721" s="102" t="n">
        <x:v>1738301</x:v>
      </x:c>
      <x:c r="G721" s="126" t="n">
        <x:f>D721/F721*10000</x:f>
        <x:v>561.0305695043609</x:v>
      </x:c>
      <x:c r="H721" s="127" t="n">
        <x:f>1+COUNTIFS($C$4:$C$802,C721,$G$4:$G$802,"&gt;"&amp;G721)</x:f>
        <x:v>34</x:v>
      </x:c>
      <x:c r="I721" s="128" t="n">
        <x:f>D721/SUMIF($C$4:$C$802,C721,$D$4:$D$802)</x:f>
        <x:v>0.011077686816696224</x:v>
      </x:c>
      <x:c r="J721" s="103" t="n">
        <x:f>(D721/SUMIF($A$4:$A$802,A721,$D$4:$D$802))/(SUMIF($C$4:$C$802,C721,$D$4:$D$802)/SUM($D$4:$D$802))</x:f>
        <x:v>0.8959439523692223</x:v>
      </x:c>
    </x:row>
    <x:row r="722">
      <x:c r="A722" s="101" t="str">
        <x:v>熊本県</x:v>
      </x:c>
      <x:c r="B722" s="101" t="str">
        <x:v>F</x:v>
      </x:c>
      <x:c r="C722" s="101" t="str">
        <x:v>電気・ガス・熱供給・水道業</x:v>
      </x:c>
      <x:c r="D722" s="102" t="n">
        <x:v>2159</x:v>
      </x:c>
      <x:c r="E722" s="102" t="n">
        <x:f>1+COUNTIFS($C$4:$C$802,C722,$D$4:$D$802,"&gt;"&amp;D722)</x:f>
        <x:v>25</x:v>
      </x:c>
      <x:c r="F722" s="102" t="n">
        <x:v>1738301</x:v>
      </x:c>
      <x:c r="G722" s="126" t="n">
        <x:f>D722/F722*10000</x:f>
        <x:v>12.420173491242311</x:v>
      </x:c>
      <x:c r="H722" s="127" t="n">
        <x:f>1+COUNTIFS($C$4:$C$802,C722,$G$4:$G$802,"&gt;"&amp;G722)</x:f>
        <x:v>36</x:v>
      </x:c>
      <x:c r="I722" s="128" t="n">
        <x:f>D722/SUMIF($C$4:$C$802,C722,$D$4:$D$802)</x:f>
        <x:v>0.01068024081247001</x:v>
      </x:c>
      <x:c r="J722" s="103" t="n">
        <x:f>(D722/SUMIF($A$4:$A$802,A722,$D$4:$D$802))/(SUMIF($C$4:$C$802,C722,$D$4:$D$802)/SUM($D$4:$D$802))</x:f>
        <x:v>0.8637992140522758</x:v>
      </x:c>
    </x:row>
    <x:row r="723">
      <x:c r="A723" s="101" t="str">
        <x:v>熊本県</x:v>
      </x:c>
      <x:c r="B723" s="101" t="str">
        <x:v>G</x:v>
      </x:c>
      <x:c r="C723" s="101" t="str">
        <x:v>情報通信業</x:v>
      </x:c>
      <x:c r="D723" s="102" t="n">
        <x:v>8026</x:v>
      </x:c>
      <x:c r="E723" s="102" t="n">
        <x:f>1+COUNTIFS($C$4:$C$802,C723,$D$4:$D$802,"&gt;"&amp;D723)</x:f>
        <x:v>22</x:v>
      </x:c>
      <x:c r="F723" s="102" t="n">
        <x:v>1738301</x:v>
      </x:c>
      <x:c r="G723" s="126" t="n">
        <x:f>D723/F723*10000</x:f>
        <x:v>46.17152035234404</x:v>
      </x:c>
      <x:c r="H723" s="127" t="n">
        <x:f>1+COUNTIFS($C$4:$C$802,C723,$G$4:$G$802,"&gt;"&amp;G723)</x:f>
        <x:v>30</x:v>
      </x:c>
      <x:c r="I723" s="128" t="n">
        <x:f>D723/SUMIF($C$4:$C$802,C723,$D$4:$D$802)</x:f>
        <x:v>0.004039582472460023</x:v>
      </x:c>
      <x:c r="J723" s="103" t="n">
        <x:f>(D723/SUMIF($A$4:$A$802,A723,$D$4:$D$802))/(SUMIF($C$4:$C$802,C723,$D$4:$D$802)/SUM($D$4:$D$802))</x:f>
        <x:v>0.3267143715276706</x:v>
      </x:c>
    </x:row>
    <x:row r="724">
      <x:c r="A724" s="101" t="str">
        <x:v>熊本県</x:v>
      </x:c>
      <x:c r="B724" s="101" t="str">
        <x:v>H</x:v>
      </x:c>
      <x:c r="C724" s="101" t="str">
        <x:v>運輸業，郵便業</x:v>
      </x:c>
      <x:c r="D724" s="102" t="n">
        <x:v>29943</x:v>
      </x:c>
      <x:c r="E724" s="102" t="n">
        <x:f>1+COUNTIFS($C$4:$C$802,C724,$D$4:$D$802,"&gt;"&amp;D724)</x:f>
        <x:v>26</x:v>
      </x:c>
      <x:c r="F724" s="102" t="n">
        <x:v>1738301</x:v>
      </x:c>
      <x:c r="G724" s="126" t="n">
        <x:f>D724/F724*10000</x:f>
        <x:v>172.25440243087934</x:v>
      </x:c>
      <x:c r="H724" s="127" t="n">
        <x:f>1+COUNTIFS($C$4:$C$802,C724,$G$4:$G$802,"&gt;"&amp;G724)</x:f>
        <x:v>45</x:v>
      </x:c>
      <x:c r="I724" s="128" t="n">
        <x:f>D724/SUMIF($C$4:$C$802,C724,$D$4:$D$802)</x:f>
        <x:v>0.009171650737854906</x:v>
      </x:c>
      <x:c r="J724" s="103" t="n">
        <x:f>(D724/SUMIF($A$4:$A$802,A724,$D$4:$D$802))/(SUMIF($C$4:$C$802,C724,$D$4:$D$802)/SUM($D$4:$D$802))</x:f>
        <x:v>0.7417870849570125</x:v>
      </x:c>
    </x:row>
    <x:row r="725">
      <x:c r="A725" s="101" t="str">
        <x:v>熊本県</x:v>
      </x:c>
      <x:c r="B725" s="101" t="str">
        <x:v>I</x:v>
      </x:c>
      <x:c r="C725" s="101" t="str">
        <x:v>卸売業，小売業</x:v>
      </x:c>
      <x:c r="D725" s="102" t="n">
        <x:v>145168</x:v>
      </x:c>
      <x:c r="E725" s="102" t="n">
        <x:f>1+COUNTIFS($C$4:$C$802,C725,$D$4:$D$802,"&gt;"&amp;D725)</x:f>
        <x:v>22</x:v>
      </x:c>
      <x:c r="F725" s="102" t="n">
        <x:v>1738301</x:v>
      </x:c>
      <x:c r="G725" s="126" t="n">
        <x:f>D725/F725*10000</x:f>
        <x:v>835.1142868812708</x:v>
      </x:c>
      <x:c r="H725" s="127" t="n">
        <x:f>1+COUNTIFS($C$4:$C$802,C725,$G$4:$G$802,"&gt;"&amp;G725)</x:f>
        <x:v>33</x:v>
      </x:c>
      <x:c r="I725" s="128" t="n">
        <x:f>D725/SUMIF($C$4:$C$802,C725,$D$4:$D$802)</x:f>
        <x:v>0.012501631943164629</x:v>
      </x:c>
      <x:c r="J725" s="103" t="n">
        <x:f>(D725/SUMIF($A$4:$A$802,A725,$D$4:$D$802))/(SUMIF($C$4:$C$802,C725,$D$4:$D$802)/SUM($D$4:$D$802))</x:f>
        <x:v>1.0111101459686076</x:v>
      </x:c>
    </x:row>
    <x:row r="726">
      <x:c r="A726" s="101" t="str">
        <x:v>熊本県</x:v>
      </x:c>
      <x:c r="B726" s="101" t="str">
        <x:v>J</x:v>
      </x:c>
      <x:c r="C726" s="101" t="str">
        <x:v>金融業，保険業</x:v>
      </x:c>
      <x:c r="D726" s="102" t="n">
        <x:v>15890</x:v>
      </x:c>
      <x:c r="E726" s="102" t="n">
        <x:f>1+COUNTIFS($C$4:$C$802,C726,$D$4:$D$802,"&gt;"&amp;D726)</x:f>
        <x:v>23</x:v>
      </x:c>
      <x:c r="F726" s="102" t="n">
        <x:v>1738301</x:v>
      </x:c>
      <x:c r="G726" s="126" t="n">
        <x:f>D726/F726*10000</x:f>
        <x:v>91.41109623707287</x:v>
      </x:c>
      <x:c r="H726" s="127" t="n">
        <x:f>1+COUNTIFS($C$4:$C$802,C726,$G$4:$G$802,"&gt;"&amp;G726)</x:f>
        <x:v>33</x:v>
      </x:c>
      <x:c r="I726" s="128" t="n">
        <x:f>D726/SUMIF($C$4:$C$802,C726,$D$4:$D$802)</x:f>
        <x:v>0.010632773835748068</x:v>
      </x:c>
      <x:c r="J726" s="103" t="n">
        <x:f>(D726/SUMIF($A$4:$A$802,A726,$D$4:$D$802))/(SUMIF($C$4:$C$802,C726,$D$4:$D$802)/SUM($D$4:$D$802))</x:f>
        <x:v>0.8599601679197224</x:v>
      </x:c>
    </x:row>
    <x:row r="727">
      <x:c r="A727" s="101" t="str">
        <x:v>熊本県</x:v>
      </x:c>
      <x:c r="B727" s="101" t="str">
        <x:v>K</x:v>
      </x:c>
      <x:c r="C727" s="101" t="str">
        <x:v>不動産業，物品賃貸業</x:v>
      </x:c>
      <x:c r="D727" s="102" t="n">
        <x:v>16005</x:v>
      </x:c>
      <x:c r="E727" s="102" t="n">
        <x:f>1+COUNTIFS($C$4:$C$802,C727,$D$4:$D$802,"&gt;"&amp;D727)</x:f>
        <x:v>20</x:v>
      </x:c>
      <x:c r="F727" s="102" t="n">
        <x:v>1738301</x:v>
      </x:c>
      <x:c r="G727" s="126" t="n">
        <x:f>D727/F727*10000</x:f>
        <x:v>92.07266175420713</x:v>
      </x:c>
      <x:c r="H727" s="127" t="n">
        <x:f>1+COUNTIFS($C$4:$C$802,C727,$G$4:$G$802,"&gt;"&amp;G727)</x:f>
        <x:v>22</x:v>
      </x:c>
      <x:c r="I727" s="128" t="n">
        <x:f>D727/SUMIF($C$4:$C$802,C727,$D$4:$D$802)</x:f>
        <x:v>0.009890998171972972</x:v>
      </x:c>
      <x:c r="J727" s="103" t="n">
        <x:f>(D727/SUMIF($A$4:$A$802,A727,$D$4:$D$802))/(SUMIF($C$4:$C$802,C727,$D$4:$D$802)/SUM($D$4:$D$802))</x:f>
        <x:v>0.7999666484267992</x:v>
      </x:c>
    </x:row>
    <x:row r="728">
      <x:c r="A728" s="101" t="str">
        <x:v>熊本県</x:v>
      </x:c>
      <x:c r="B728" s="101" t="str">
        <x:v>L</x:v>
      </x:c>
      <x:c r="C728" s="101" t="str">
        <x:v>学術研究，専門・技術サービス業</x:v>
      </x:c>
      <x:c r="D728" s="102" t="n">
        <x:v>17827</x:v>
      </x:c>
      <x:c r="E728" s="102" t="n">
        <x:f>1+COUNTIFS($C$4:$C$802,C728,$D$4:$D$802,"&gt;"&amp;D728)</x:f>
        <x:v>23</x:v>
      </x:c>
      <x:c r="F728" s="102" t="n">
        <x:v>1738301</x:v>
      </x:c>
      <x:c r="G728" s="126" t="n">
        <x:f>D728/F728*10000</x:f>
        <x:v>102.55416064306469</x:v>
      </x:c>
      <x:c r="H728" s="127" t="n">
        <x:f>1+COUNTIFS($C$4:$C$802,C728,$G$4:$G$802,"&gt;"&amp;G728)</x:f>
        <x:v>29</x:v>
      </x:c>
      <x:c r="I728" s="128" t="n">
        <x:f>D728/SUMIF($C$4:$C$802,C728,$D$4:$D$802)</x:f>
        <x:v>0.008413248258546807</x:v>
      </x:c>
      <x:c r="J728" s="103" t="n">
        <x:f>(D728/SUMIF($A$4:$A$802,A728,$D$4:$D$802))/(SUMIF($C$4:$C$802,C728,$D$4:$D$802)/SUM($D$4:$D$802))</x:f>
        <x:v>0.6804488176778005</x:v>
      </x:c>
    </x:row>
    <x:row r="729">
      <x:c r="A729" s="101" t="str">
        <x:v>熊本県</x:v>
      </x:c>
      <x:c r="B729" s="101" t="str">
        <x:v>M</x:v>
      </x:c>
      <x:c r="C729" s="101" t="str">
        <x:v>宿泊業，飲食サービス業</x:v>
      </x:c>
      <x:c r="D729" s="102" t="n">
        <x:v>58622</x:v>
      </x:c>
      <x:c r="E729" s="102" t="n">
        <x:f>1+COUNTIFS($C$4:$C$802,C729,$D$4:$D$802,"&gt;"&amp;D729)</x:f>
        <x:v>23</x:v>
      </x:c>
      <x:c r="F729" s="102" t="n">
        <x:v>1738301</x:v>
      </x:c>
      <x:c r="G729" s="126" t="n">
        <x:f>D729/F729*10000</x:f>
        <x:v>337.2373369169091</x:v>
      </x:c>
      <x:c r="H729" s="127" t="n">
        <x:f>1+COUNTIFS($C$4:$C$802,C729,$G$4:$G$802,"&gt;"&amp;G729)</x:f>
        <x:v>26</x:v>
      </x:c>
      <x:c r="I729" s="128" t="n">
        <x:f>D729/SUMIF($C$4:$C$802,C729,$D$4:$D$802)</x:f>
        <x:v>0.012529444365244566</x:v>
      </x:c>
      <x:c r="J729" s="103" t="n">
        <x:f>(D729/SUMIF($A$4:$A$802,A729,$D$4:$D$802))/(SUMIF($C$4:$C$802,C729,$D$4:$D$802)/SUM($D$4:$D$802))</x:f>
        <x:v>1.0133595660664663</x:v>
      </x:c>
    </x:row>
    <x:row r="730">
      <x:c r="A730" s="101" t="str">
        <x:v>熊本県</x:v>
      </x:c>
      <x:c r="B730" s="101" t="str">
        <x:v>N</x:v>
      </x:c>
      <x:c r="C730" s="101" t="str">
        <x:v>生活関連サービス業，娯楽業</x:v>
      </x:c>
      <x:c r="D730" s="102" t="n">
        <x:v>27690</x:v>
      </x:c>
      <x:c r="E730" s="102" t="n">
        <x:f>1+COUNTIFS($C$4:$C$802,C730,$D$4:$D$802,"&gt;"&amp;D730)</x:f>
        <x:v>23</x:v>
      </x:c>
      <x:c r="F730" s="102" t="n">
        <x:v>1738301</x:v>
      </x:c>
      <x:c r="G730" s="126" t="n">
        <x:f>D730/F730*10000</x:f>
        <x:v>159.2934710386751</x:v>
      </x:c>
      <x:c r="H730" s="127" t="n">
        <x:f>1+COUNTIFS($C$4:$C$802,C730,$G$4:$G$802,"&gt;"&amp;G730)</x:f>
        <x:v>37</x:v>
      </x:c>
      <x:c r="I730" s="128" t="n">
        <x:f>D730/SUMIF($C$4:$C$802,C730,$D$4:$D$802)</x:f>
        <x:v>0.012724371007550528</x:v>
      </x:c>
      <x:c r="J730" s="103" t="n">
        <x:f>(D730/SUMIF($A$4:$A$802,A730,$D$4:$D$802))/(SUMIF($C$4:$C$802,C730,$D$4:$D$802)/SUM($D$4:$D$802))</x:f>
        <x:v>1.0291248922775704</x:v>
      </x:c>
    </x:row>
    <x:row r="731">
      <x:c r="A731" s="101" t="str">
        <x:v>熊本県</x:v>
      </x:c>
      <x:c r="B731" s="101" t="str">
        <x:v>O</x:v>
      </x:c>
      <x:c r="C731" s="101" t="str">
        <x:v>教育，学習支援業</x:v>
      </x:c>
      <x:c r="D731" s="102" t="n">
        <x:v>23360</x:v>
      </x:c>
      <x:c r="E731" s="102" t="n">
        <x:f>1+COUNTIFS($C$4:$C$802,C731,$D$4:$D$802,"&gt;"&amp;D731)</x:f>
        <x:v>20</x:v>
      </x:c>
      <x:c r="F731" s="102" t="n">
        <x:v>1738301</x:v>
      </x:c>
      <x:c r="G731" s="126" t="n">
        <x:f>D731/F731*10000</x:f>
        <x:v>134.38409113266346</x:v>
      </x:c>
      <x:c r="H731" s="127" t="n">
        <x:f>1+COUNTIFS($C$4:$C$802,C731,$G$4:$G$802,"&gt;"&amp;G731)</x:f>
        <x:v>22</x:v>
      </x:c>
      <x:c r="I731" s="128" t="n">
        <x:f>D731/SUMIF($C$4:$C$802,C731,$D$4:$D$802)</x:f>
        <x:v>0.011974979674317461</x:v>
      </x:c>
      <x:c r="J731" s="103" t="n">
        <x:f>(D731/SUMIF($A$4:$A$802,A731,$D$4:$D$802))/(SUMIF($C$4:$C$802,C731,$D$4:$D$802)/SUM($D$4:$D$802))</x:f>
        <x:v>0.9685154307466554</x:v>
      </x:c>
    </x:row>
    <x:row r="732">
      <x:c r="A732" s="101" t="str">
        <x:v>熊本県</x:v>
      </x:c>
      <x:c r="B732" s="101" t="str">
        <x:v>P</x:v>
      </x:c>
      <x:c r="C732" s="101" t="str">
        <x:v>医療，福祉</x:v>
      </x:c>
      <x:c r="D732" s="102" t="n">
        <x:v>142823</x:v>
      </x:c>
      <x:c r="E732" s="102" t="n">
        <x:f>1+COUNTIFS($C$4:$C$802,C732,$D$4:$D$802,"&gt;"&amp;D732)</x:f>
        <x:v>14</x:v>
      </x:c>
      <x:c r="F732" s="102" t="n">
        <x:v>1738301</x:v>
      </x:c>
      <x:c r="G732" s="126" t="n">
        <x:f>D732/F732*10000</x:f>
        <x:v>821.6241030753591</x:v>
      </x:c>
      <x:c r="H732" s="127" t="n">
        <x:f>1+COUNTIFS($C$4:$C$802,C732,$G$4:$G$802,"&gt;"&amp;G732)</x:f>
        <x:v>4</x:v>
      </x:c>
      <x:c r="I732" s="128" t="n">
        <x:f>D732/SUMIF($C$4:$C$802,C732,$D$4:$D$802)</x:f>
        <x:v>0.01749767654064406</x:v>
      </x:c>
      <x:c r="J732" s="103" t="n">
        <x:f>(D732/SUMIF($A$4:$A$802,A732,$D$4:$D$802))/(SUMIF($C$4:$C$802,C732,$D$4:$D$802)/SUM($D$4:$D$802))</x:f>
        <x:v>1.415181502827348</x:v>
      </x:c>
    </x:row>
    <x:row r="733">
      <x:c r="A733" s="101" t="str">
        <x:v>熊本県</x:v>
      </x:c>
      <x:c r="B733" s="101" t="str">
        <x:v>Q</x:v>
      </x:c>
      <x:c r="C733" s="101" t="str">
        <x:v>複合サービス事業</x:v>
      </x:c>
      <x:c r="D733" s="102" t="n">
        <x:v>9832</x:v>
      </x:c>
      <x:c r="E733" s="102" t="n">
        <x:f>1+COUNTIFS($C$4:$C$802,C733,$D$4:$D$802,"&gt;"&amp;D733)</x:f>
        <x:v>14</x:v>
      </x:c>
      <x:c r="F733" s="102" t="n">
        <x:v>1738301</x:v>
      </x:c>
      <x:c r="G733" s="126" t="n">
        <x:f>D733/F733*10000</x:f>
        <x:v>56.560975343165545</x:v>
      </x:c>
      <x:c r="H733" s="127" t="n">
        <x:f>1+COUNTIFS($C$4:$C$802,C733,$G$4:$G$802,"&gt;"&amp;G733)</x:f>
        <x:v>6</x:v>
      </x:c>
      <x:c r="I733" s="128" t="n">
        <x:f>D733/SUMIF($C$4:$C$802,C733,$D$4:$D$802)</x:f>
        <x:v>0.022552010459435282</x:v>
      </x:c>
      <x:c r="J733" s="103" t="n">
        <x:f>(D733/SUMIF($A$4:$A$802,A733,$D$4:$D$802))/(SUMIF($C$4:$C$802,C733,$D$4:$D$802)/SUM($D$4:$D$802))</x:f>
        <x:v>1.8239671981378933</x:v>
      </x:c>
    </x:row>
    <x:row r="734">
      <x:c r="A734" s="101" t="str">
        <x:v>熊本県</x:v>
      </x:c>
      <x:c r="B734" s="101" t="str">
        <x:v>R</x:v>
      </x:c>
      <x:c r="C734" s="101" t="str">
        <x:v>サービス業（他に分類されないもの）</x:v>
      </x:c>
      <x:c r="D734" s="102" t="n">
        <x:v>56115</x:v>
      </x:c>
      <x:c r="E734" s="102" t="n">
        <x:f>1+COUNTIFS($C$4:$C$802,C734,$D$4:$D$802,"&gt;"&amp;D734)</x:f>
        <x:v>23</x:v>
      </x:c>
      <x:c r="F734" s="102" t="n">
        <x:v>1738301</x:v>
      </x:c>
      <x:c r="G734" s="126" t="n">
        <x:f>D734/F734*10000</x:f>
        <x:v>322.8152086433823</x:v>
      </x:c>
      <x:c r="H734" s="127" t="n">
        <x:f>1+COUNTIFS($C$4:$C$802,C734,$G$4:$G$802,"&gt;"&amp;G734)</x:f>
        <x:v>29</x:v>
      </x:c>
      <x:c r="I734" s="128" t="n">
        <x:f>D734/SUMIF($C$4:$C$802,C734,$D$4:$D$802)</x:f>
        <x:v>0.010720555439972627</x:v>
      </x:c>
      <x:c r="J734" s="103" t="n">
        <x:f>(D734/SUMIF($A$4:$A$802,A734,$D$4:$D$802))/(SUMIF($C$4:$C$802,C734,$D$4:$D$802)/SUM($D$4:$D$802))</x:f>
        <x:v>0.867059790678124</x:v>
      </x:c>
    </x:row>
    <x:row r="735">
      <x:c r="A735" s="101" t="str">
        <x:v>大分県</x:v>
      </x:c>
      <x:c r="B735" s="101" t="str">
        <x:v>AB</x:v>
      </x:c>
      <x:c r="C735" s="101" t="str">
        <x:v>農林漁業</x:v>
      </x:c>
      <x:c r="D735" s="102" t="n">
        <x:v>9240</x:v>
      </x:c>
      <x:c r="E735" s="102" t="n">
        <x:f>1+COUNTIFS($C$4:$C$802,C735,$D$4:$D$802,"&gt;"&amp;D735)</x:f>
        <x:v>23</x:v>
      </x:c>
      <x:c r="F735" s="102" t="n">
        <x:v>1123852</x:v>
      </x:c>
      <x:c r="G735" s="126" t="n">
        <x:f>D735/F735*10000</x:f>
        <x:v>82.2172314504045</x:v>
      </x:c>
      <x:c r="H735" s="127" t="n">
        <x:f>1+COUNTIFS($C$4:$C$802,C735,$G$4:$G$802,"&gt;"&amp;G735)</x:f>
        <x:v>11</x:v>
      </x:c>
      <x:c r="I735" s="128" t="n">
        <x:f>D735/SUMIF($C$4:$C$802,C735,$D$4:$D$802)</x:f>
        <x:v>0.02036574587340176</x:v>
      </x:c>
      <x:c r="J735" s="103" t="n">
        <x:f>(D735/SUMIF($A$4:$A$802,A735,$D$4:$D$802))/(SUMIF($C$4:$C$802,C735,$D$4:$D$802)/SUM($D$4:$D$802))</x:f>
        <x:v>2.484439518592844</x:v>
      </x:c>
    </x:row>
    <x:row r="736">
      <x:c r="A736" s="101" t="str">
        <x:v>大分県</x:v>
      </x:c>
      <x:c r="B736" s="101" t="str">
        <x:v>C</x:v>
      </x:c>
      <x:c r="C736" s="101" t="str">
        <x:v>鉱業，採石業，砂利採取業</x:v>
      </x:c>
      <x:c r="D736" s="102" t="n">
        <x:v>660</x:v>
      </x:c>
      <x:c r="E736" s="102" t="n">
        <x:f>1+COUNTIFS($C$4:$C$802,C736,$D$4:$D$802,"&gt;"&amp;D736)</x:f>
        <x:v>6</x:v>
      </x:c>
      <x:c r="F736" s="102" t="n">
        <x:v>1123852</x:v>
      </x:c>
      <x:c r="G736" s="126" t="n">
        <x:f>D736/F736*10000</x:f>
        <x:v>5.872659389314607</x:v>
      </x:c>
      <x:c r="H736" s="127" t="n">
        <x:f>1+COUNTIFS($C$4:$C$802,C736,$G$4:$G$802,"&gt;"&amp;G736)</x:f>
        <x:v>4</x:v>
      </x:c>
      <x:c r="I736" s="128" t="n">
        <x:f>D736/SUMIF($C$4:$C$802,C736,$D$4:$D$802)</x:f>
        <x:v>0.03350764075747576</x:v>
      </x:c>
      <x:c r="J736" s="103" t="n">
        <x:f>(D736/SUMIF($A$4:$A$802,A736,$D$4:$D$802))/(SUMIF($C$4:$C$802,C736,$D$4:$D$802)/SUM($D$4:$D$802))</x:f>
        <x:v>4.087633587798464</x:v>
      </x:c>
    </x:row>
    <x:row r="737">
      <x:c r="A737" s="101" t="str">
        <x:v>大分県</x:v>
      </x:c>
      <x:c r="B737" s="101" t="str">
        <x:v>D</x:v>
      </x:c>
      <x:c r="C737" s="101" t="str">
        <x:v>建設業</x:v>
      </x:c>
      <x:c r="D737" s="102" t="n">
        <x:v>38390</x:v>
      </x:c>
      <x:c r="E737" s="102" t="n">
        <x:f>1+COUNTIFS($C$4:$C$802,C737,$D$4:$D$802,"&gt;"&amp;D737)</x:f>
        <x:v>33</x:v>
      </x:c>
      <x:c r="F737" s="102" t="n">
        <x:v>1123852</x:v>
      </x:c>
      <x:c r="G737" s="126" t="n">
        <x:f>D737/F737*10000</x:f>
        <x:v>341.593021145133</x:v>
      </x:c>
      <x:c r="H737" s="127" t="n">
        <x:f>1+COUNTIFS($C$4:$C$802,C737,$G$4:$G$802,"&gt;"&amp;G737)</x:f>
        <x:v>13</x:v>
      </x:c>
      <x:c r="I737" s="128" t="n">
        <x:f>D737/SUMIF($C$4:$C$802,C737,$D$4:$D$802)</x:f>
        <x:v>0.010271805512633733</x:v>
      </x:c>
      <x:c r="J737" s="103" t="n">
        <x:f>(D737/SUMIF($A$4:$A$802,A737,$D$4:$D$802))/(SUMIF($C$4:$C$802,C737,$D$4:$D$802)/SUM($D$4:$D$802))</x:f>
        <x:v>1.2530687410872825</x:v>
      </x:c>
    </x:row>
    <x:row r="738">
      <x:c r="A738" s="101" t="str">
        <x:v>大分県</x:v>
      </x:c>
      <x:c r="B738" s="101" t="str">
        <x:v>E</x:v>
      </x:c>
      <x:c r="C738" s="101" t="str">
        <x:v>製造業</x:v>
      </x:c>
      <x:c r="D738" s="102" t="n">
        <x:v>68567</x:v>
      </x:c>
      <x:c r="E738" s="102" t="n">
        <x:f>1+COUNTIFS($C$4:$C$802,C738,$D$4:$D$802,"&gt;"&amp;D738)</x:f>
        <x:v>36</x:v>
      </x:c>
      <x:c r="F738" s="102" t="n">
        <x:v>1123852</x:v>
      </x:c>
      <x:c r="G738" s="126" t="n">
        <x:f>D738/F738*10000</x:f>
        <x:v>610.1070247683859</x:v>
      </x:c>
      <x:c r="H738" s="127" t="n">
        <x:f>1+COUNTIFS($C$4:$C$802,C738,$G$4:$G$802,"&gt;"&amp;G738)</x:f>
        <x:v>33</x:v>
      </x:c>
      <x:c r="I738" s="128" t="n">
        <x:f>D738/SUMIF($C$4:$C$802,C738,$D$4:$D$802)</x:f>
        <x:v>0.007788480291624728</x:v>
      </x:c>
      <x:c r="J738" s="103" t="n">
        <x:f>(D738/SUMIF($A$4:$A$802,A738,$D$4:$D$802))/(SUMIF($C$4:$C$802,C738,$D$4:$D$802)/SUM($D$4:$D$802))</x:f>
        <x:v>0.9501251928889894</x:v>
      </x:c>
    </x:row>
    <x:row r="739">
      <x:c r="A739" s="101" t="str">
        <x:v>大分県</x:v>
      </x:c>
      <x:c r="B739" s="101" t="str">
        <x:v>F</x:v>
      </x:c>
      <x:c r="C739" s="101" t="str">
        <x:v>電気・ガス・熱供給・水道業</x:v>
      </x:c>
      <x:c r="D739" s="102" t="n">
        <x:v>1794</x:v>
      </x:c>
      <x:c r="E739" s="102" t="n">
        <x:f>1+COUNTIFS($C$4:$C$802,C739,$D$4:$D$802,"&gt;"&amp;D739)</x:f>
        <x:v>32</x:v>
      </x:c>
      <x:c r="F739" s="102" t="n">
        <x:v>1123852</x:v>
      </x:c>
      <x:c r="G739" s="126" t="n">
        <x:f>D739/F739*10000</x:f>
        <x:v>15.962955976409706</x:v>
      </x:c>
      <x:c r="H739" s="127" t="n">
        <x:f>1+COUNTIFS($C$4:$C$802,C739,$G$4:$G$802,"&gt;"&amp;G739)</x:f>
        <x:v>21</x:v>
      </x:c>
      <x:c r="I739" s="128" t="n">
        <x:f>D739/SUMIF($C$4:$C$802,C739,$D$4:$D$802)</x:f>
        <x:v>0.008874641972010745</x:v>
      </x:c>
      <x:c r="J739" s="103" t="n">
        <x:f>(D739/SUMIF($A$4:$A$802,A739,$D$4:$D$802))/(SUMIF($C$4:$C$802,C739,$D$4:$D$802)/SUM($D$4:$D$802))</x:f>
        <x:v>1.0826272391733118</x:v>
      </x:c>
    </x:row>
    <x:row r="740">
      <x:c r="A740" s="101" t="str">
        <x:v>大分県</x:v>
      </x:c>
      <x:c r="B740" s="101" t="str">
        <x:v>G</x:v>
      </x:c>
      <x:c r="C740" s="101" t="str">
        <x:v>情報通信業</x:v>
      </x:c>
      <x:c r="D740" s="102" t="n">
        <x:v>5861</x:v>
      </x:c>
      <x:c r="E740" s="102" t="n">
        <x:f>1+COUNTIFS($C$4:$C$802,C740,$D$4:$D$802,"&gt;"&amp;D740)</x:f>
        <x:v>30</x:v>
      </x:c>
      <x:c r="F740" s="102" t="n">
        <x:v>1123852</x:v>
      </x:c>
      <x:c r="G740" s="126" t="n">
        <x:f>D740/F740*10000</x:f>
        <x:v>52.15099497086805</x:v>
      </x:c>
      <x:c r="H740" s="127" t="n">
        <x:f>1+COUNTIFS($C$4:$C$802,C740,$G$4:$G$802,"&gt;"&amp;G740)</x:f>
        <x:v>23</x:v>
      </x:c>
      <x:c r="I740" s="128" t="n">
        <x:f>D740/SUMIF($C$4:$C$802,C740,$D$4:$D$802)</x:f>
        <x:v>0.0029499118952265382</x:v>
      </x:c>
      <x:c r="J740" s="103" t="n">
        <x:f>(D740/SUMIF($A$4:$A$802,A740,$D$4:$D$802))/(SUMIF($C$4:$C$802,C740,$D$4:$D$802)/SUM($D$4:$D$802))</x:f>
        <x:v>0.35986296472645496</x:v>
      </x:c>
    </x:row>
    <x:row r="741">
      <x:c r="A741" s="101" t="str">
        <x:v>大分県</x:v>
      </x:c>
      <x:c r="B741" s="101" t="str">
        <x:v>H</x:v>
      </x:c>
      <x:c r="C741" s="101" t="str">
        <x:v>運輸業，郵便業</x:v>
      </x:c>
      <x:c r="D741" s="102" t="n">
        <x:v>22814</x:v>
      </x:c>
      <x:c r="E741" s="102" t="n">
        <x:f>1+COUNTIFS($C$4:$C$802,C741,$D$4:$D$802,"&gt;"&amp;D741)</x:f>
        <x:v>35</x:v>
      </x:c>
      <x:c r="F741" s="102" t="n">
        <x:v>1123852</x:v>
      </x:c>
      <x:c r="G741" s="126" t="n">
        <x:f>D741/F741*10000</x:f>
        <x:v>202.99825955730824</x:v>
      </x:c>
      <x:c r="H741" s="127" t="n">
        <x:f>1+COUNTIFS($C$4:$C$802,C741,$G$4:$G$802,"&gt;"&amp;G741)</x:f>
        <x:v>34</x:v>
      </x:c>
      <x:c r="I741" s="128" t="n">
        <x:f>D741/SUMIF($C$4:$C$802,C741,$D$4:$D$802)</x:f>
        <x:v>0.006988011887032757</x:v>
      </x:c>
      <x:c r="J741" s="103" t="n">
        <x:f>(D741/SUMIF($A$4:$A$802,A741,$D$4:$D$802))/(SUMIF($C$4:$C$802,C741,$D$4:$D$802)/SUM($D$4:$D$802))</x:f>
        <x:v>0.8524751804555839</x:v>
      </x:c>
    </x:row>
    <x:row r="742">
      <x:c r="A742" s="101" t="str">
        <x:v>大分県</x:v>
      </x:c>
      <x:c r="B742" s="101" t="str">
        <x:v>I</x:v>
      </x:c>
      <x:c r="C742" s="101" t="str">
        <x:v>卸売業，小売業</x:v>
      </x:c>
      <x:c r="D742" s="102" t="n">
        <x:v>91019</x:v>
      </x:c>
      <x:c r="E742" s="102" t="n">
        <x:f>1+COUNTIFS($C$4:$C$802,C742,$D$4:$D$802,"&gt;"&amp;D742)</x:f>
        <x:v>35</x:v>
      </x:c>
      <x:c r="F742" s="102" t="n">
        <x:v>1123852</x:v>
      </x:c>
      <x:c r="G742" s="126" t="n">
        <x:f>D742/F742*10000</x:f>
        <x:v>809.8842196303428</x:v>
      </x:c>
      <x:c r="H742" s="127" t="n">
        <x:f>1+COUNTIFS($C$4:$C$802,C742,$G$4:$G$802,"&gt;"&amp;G742)</x:f>
        <x:v>39</x:v>
      </x:c>
      <x:c r="I742" s="128" t="n">
        <x:f>D742/SUMIF($C$4:$C$802,C742,$D$4:$D$802)</x:f>
        <x:v>0.007838408174218157</x:v>
      </x:c>
      <x:c r="J742" s="103" t="n">
        <x:f>(D742/SUMIF($A$4:$A$802,A742,$D$4:$D$802))/(SUMIF($C$4:$C$802,C742,$D$4:$D$802)/SUM($D$4:$D$802))</x:f>
        <x:v>0.9562159496609661</x:v>
      </x:c>
    </x:row>
    <x:row r="743">
      <x:c r="A743" s="101" t="str">
        <x:v>大分県</x:v>
      </x:c>
      <x:c r="B743" s="101" t="str">
        <x:v>J</x:v>
      </x:c>
      <x:c r="C743" s="101" t="str">
        <x:v>金融業，保険業</x:v>
      </x:c>
      <x:c r="D743" s="102" t="n">
        <x:v>10016</x:v>
      </x:c>
      <x:c r="E743" s="102" t="n">
        <x:f>1+COUNTIFS($C$4:$C$802,C743,$D$4:$D$802,"&gt;"&amp;D743)</x:f>
        <x:v>38</x:v>
      </x:c>
      <x:c r="F743" s="102" t="n">
        <x:v>1123852</x:v>
      </x:c>
      <x:c r="G743" s="126" t="n">
        <x:f>D743/F743*10000</x:f>
        <x:v>89.122055217235</x:v>
      </x:c>
      <x:c r="H743" s="127" t="n">
        <x:f>1+COUNTIFS($C$4:$C$802,C743,$G$4:$G$802,"&gt;"&amp;G743)</x:f>
        <x:v>36</x:v>
      </x:c>
      <x:c r="I743" s="128" t="n">
        <x:f>D743/SUMIF($C$4:$C$802,C743,$D$4:$D$802)</x:f>
        <x:v>0.006702194004962407</x:v>
      </x:c>
      <x:c r="J743" s="103" t="n">
        <x:f>(D743/SUMIF($A$4:$A$802,A743,$D$4:$D$802))/(SUMIF($C$4:$C$802,C743,$D$4:$D$802)/SUM($D$4:$D$802))</x:f>
        <x:v>0.817607945749317</x:v>
      </x:c>
    </x:row>
    <x:row r="744">
      <x:c r="A744" s="101" t="str">
        <x:v>大分県</x:v>
      </x:c>
      <x:c r="B744" s="101" t="str">
        <x:v>K</x:v>
      </x:c>
      <x:c r="C744" s="101" t="str">
        <x:v>不動産業，物品賃貸業</x:v>
      </x:c>
      <x:c r="D744" s="102" t="n">
        <x:v>9687</x:v>
      </x:c>
      <x:c r="E744" s="102" t="n">
        <x:f>1+COUNTIFS($C$4:$C$802,C744,$D$4:$D$802,"&gt;"&amp;D744)</x:f>
        <x:v>34</x:v>
      </x:c>
      <x:c r="F744" s="102" t="n">
        <x:v>1123852</x:v>
      </x:c>
      <x:c r="G744" s="126" t="n">
        <x:f>D744/F744*10000</x:f>
        <x:v>86.19462349134939</x:v>
      </x:c>
      <x:c r="H744" s="127" t="n">
        <x:f>1+COUNTIFS($C$4:$C$802,C744,$G$4:$G$802,"&gt;"&amp;G744)</x:f>
        <x:v>25</x:v>
      </x:c>
      <x:c r="I744" s="128" t="n">
        <x:f>D744/SUMIF($C$4:$C$802,C744,$D$4:$D$802)</x:f>
        <x:v>0.0059865104212372495</x:v>
      </x:c>
      <x:c r="J744" s="103" t="n">
        <x:f>(D744/SUMIF($A$4:$A$802,A744,$D$4:$D$802))/(SUMIF($C$4:$C$802,C744,$D$4:$D$802)/SUM($D$4:$D$802))</x:f>
        <x:v>0.7303009259491169</x:v>
      </x:c>
    </x:row>
    <x:row r="745">
      <x:c r="A745" s="101" t="str">
        <x:v>大分県</x:v>
      </x:c>
      <x:c r="B745" s="101" t="str">
        <x:v>L</x:v>
      </x:c>
      <x:c r="C745" s="101" t="str">
        <x:v>学術研究，専門・技術サービス業</x:v>
      </x:c>
      <x:c r="D745" s="102" t="n">
        <x:v>12527</x:v>
      </x:c>
      <x:c r="E745" s="102" t="n">
        <x:f>1+COUNTIFS($C$4:$C$802,C745,$D$4:$D$802,"&gt;"&amp;D745)</x:f>
        <x:v>31</x:v>
      </x:c>
      <x:c r="F745" s="102" t="n">
        <x:v>1123852</x:v>
      </x:c>
      <x:c r="G745" s="126" t="n">
        <x:f>D745/F745*10000</x:f>
        <x:v>111.46485480294558</x:v>
      </x:c>
      <x:c r="H745" s="127" t="n">
        <x:f>1+COUNTIFS($C$4:$C$802,C745,$G$4:$G$802,"&gt;"&amp;G745)</x:f>
        <x:v>20</x:v>
      </x:c>
      <x:c r="I745" s="128" t="n">
        <x:f>D745/SUMIF($C$4:$C$802,C745,$D$4:$D$802)</x:f>
        <x:v>0.005911974024503048</x:v>
      </x:c>
      <x:c r="J745" s="103" t="n">
        <x:f>(D745/SUMIF($A$4:$A$802,A745,$D$4:$D$802))/(SUMIF($C$4:$C$802,C745,$D$4:$D$802)/SUM($D$4:$D$802))</x:f>
        <x:v>0.7212081497369864</x:v>
      </x:c>
    </x:row>
    <x:row r="746">
      <x:c r="A746" s="101" t="str">
        <x:v>大分県</x:v>
      </x:c>
      <x:c r="B746" s="101" t="str">
        <x:v>M</x:v>
      </x:c>
      <x:c r="C746" s="101" t="str">
        <x:v>宿泊業，飲食サービス業</x:v>
      </x:c>
      <x:c r="D746" s="102" t="n">
        <x:v>41558</x:v>
      </x:c>
      <x:c r="E746" s="102" t="n">
        <x:f>1+COUNTIFS($C$4:$C$802,C746,$D$4:$D$802,"&gt;"&amp;D746)</x:f>
        <x:v>31</x:v>
      </x:c>
      <x:c r="F746" s="102" t="n">
        <x:v>1123852</x:v>
      </x:c>
      <x:c r="G746" s="126" t="n">
        <x:f>D746/F746*10000</x:f>
        <x:v>369.78178621384313</x:v>
      </x:c>
      <x:c r="H746" s="127" t="n">
        <x:f>1+COUNTIFS($C$4:$C$802,C746,$G$4:$G$802,"&gt;"&amp;G746)</x:f>
        <x:v>13</x:v>
      </x:c>
      <x:c r="I746" s="128" t="n">
        <x:f>D746/SUMIF($C$4:$C$802,C746,$D$4:$D$802)</x:f>
        <x:v>0.008882307818410045</x:v>
      </x:c>
      <x:c r="J746" s="103" t="n">
        <x:f>(D746/SUMIF($A$4:$A$802,A746,$D$4:$D$802))/(SUMIF($C$4:$C$802,C746,$D$4:$D$802)/SUM($D$4:$D$802))</x:f>
        <x:v>1.0835624041241207</x:v>
      </x:c>
    </x:row>
    <x:row r="747">
      <x:c r="A747" s="101" t="str">
        <x:v>大分県</x:v>
      </x:c>
      <x:c r="B747" s="101" t="str">
        <x:v>N</x:v>
      </x:c>
      <x:c r="C747" s="101" t="str">
        <x:v>生活関連サービス業，娯楽業</x:v>
      </x:c>
      <x:c r="D747" s="102" t="n">
        <x:v>18325</x:v>
      </x:c>
      <x:c r="E747" s="102" t="n">
        <x:f>1+COUNTIFS($C$4:$C$802,C747,$D$4:$D$802,"&gt;"&amp;D747)</x:f>
        <x:v>36</x:v>
      </x:c>
      <x:c r="F747" s="102" t="n">
        <x:v>1123852</x:v>
      </x:c>
      <x:c r="G747" s="126" t="n">
        <x:f>D747/F747*10000</x:f>
        <x:v>163.05527774119724</x:v>
      </x:c>
      <x:c r="H747" s="127" t="n">
        <x:f>1+COUNTIFS($C$4:$C$802,C747,$G$4:$G$802,"&gt;"&amp;G747)</x:f>
        <x:v>29</x:v>
      </x:c>
      <x:c r="I747" s="128" t="n">
        <x:f>D747/SUMIF($C$4:$C$802,C747,$D$4:$D$802)</x:f>
        <x:v>0.008420877526665347</x:v>
      </x:c>
      <x:c r="J747" s="103" t="n">
        <x:f>(D747/SUMIF($A$4:$A$802,A747,$D$4:$D$802))/(SUMIF($C$4:$C$802,C747,$D$4:$D$802)/SUM($D$4:$D$802))</x:f>
        <x:v>1.027272020309424</x:v>
      </x:c>
    </x:row>
    <x:row r="748">
      <x:c r="A748" s="101" t="str">
        <x:v>大分県</x:v>
      </x:c>
      <x:c r="B748" s="101" t="str">
        <x:v>O</x:v>
      </x:c>
      <x:c r="C748" s="101" t="str">
        <x:v>教育，学習支援業</x:v>
      </x:c>
      <x:c r="D748" s="102" t="n">
        <x:v>14429</x:v>
      </x:c>
      <x:c r="E748" s="102" t="n">
        <x:f>1+COUNTIFS($C$4:$C$802,C748,$D$4:$D$802,"&gt;"&amp;D748)</x:f>
        <x:v>34</x:v>
      </x:c>
      <x:c r="F748" s="102" t="n">
        <x:v>1123852</x:v>
      </x:c>
      <x:c r="G748" s="126" t="n">
        <x:f>D748/F748*10000</x:f>
        <x:v>128.3887914066977</x:v>
      </x:c>
      <x:c r="H748" s="127" t="n">
        <x:f>1+COUNTIFS($C$4:$C$802,C748,$G$4:$G$802,"&gt;"&amp;G748)</x:f>
        <x:v>27</x:v>
      </x:c>
      <x:c r="I748" s="128" t="n">
        <x:f>D748/SUMIF($C$4:$C$802,C748,$D$4:$D$802)</x:f>
        <x:v>0.007396702984620148</x:v>
      </x:c>
      <x:c r="J748" s="103" t="n">
        <x:f>(D748/SUMIF($A$4:$A$802,A748,$D$4:$D$802))/(SUMIF($C$4:$C$802,C748,$D$4:$D$802)/SUM($D$4:$D$802))</x:f>
        <x:v>0.9023318525389422</x:v>
      </x:c>
    </x:row>
    <x:row r="749">
      <x:c r="A749" s="101" t="str">
        <x:v>大分県</x:v>
      </x:c>
      <x:c r="B749" s="101" t="str">
        <x:v>P</x:v>
      </x:c>
      <x:c r="C749" s="101" t="str">
        <x:v>医療，福祉</x:v>
      </x:c>
      <x:c r="D749" s="102" t="n">
        <x:v>90114</x:v>
      </x:c>
      <x:c r="E749" s="102" t="n">
        <x:f>1+COUNTIFS($C$4:$C$802,C749,$D$4:$D$802,"&gt;"&amp;D749)</x:f>
        <x:v>29</x:v>
      </x:c>
      <x:c r="F749" s="102" t="n">
        <x:v>1123852</x:v>
      </x:c>
      <x:c r="G749" s="126" t="n">
        <x:f>D749/F749*10000</x:f>
        <x:v>801.8315578919644</x:v>
      </x:c>
      <x:c r="H749" s="127" t="n">
        <x:f>1+COUNTIFS($C$4:$C$802,C749,$G$4:$G$802,"&gt;"&amp;G749)</x:f>
        <x:v>7</x:v>
      </x:c>
      <x:c r="I749" s="128" t="n">
        <x:f>D749/SUMIF($C$4:$C$802,C749,$D$4:$D$802)</x:f>
        <x:v>0.011040137959457503</x:v>
      </x:c>
      <x:c r="J749" s="103" t="n">
        <x:f>(D749/SUMIF($A$4:$A$802,A749,$D$4:$D$802))/(SUMIF($C$4:$C$802,C749,$D$4:$D$802)/SUM($D$4:$D$802))</x:f>
        <x:v>1.346798453034595</x:v>
      </x:c>
    </x:row>
    <x:row r="750">
      <x:c r="A750" s="101" t="str">
        <x:v>大分県</x:v>
      </x:c>
      <x:c r="B750" s="101" t="str">
        <x:v>Q</x:v>
      </x:c>
      <x:c r="C750" s="101" t="str">
        <x:v>複合サービス事業</x:v>
      </x:c>
      <x:c r="D750" s="102" t="n">
        <x:v>4265</x:v>
      </x:c>
      <x:c r="E750" s="102" t="n">
        <x:f>1+COUNTIFS($C$4:$C$802,C750,$D$4:$D$802,"&gt;"&amp;D750)</x:f>
        <x:v>38</x:v>
      </x:c>
      <x:c r="F750" s="102" t="n">
        <x:v>1123852</x:v>
      </x:c>
      <x:c r="G750" s="126" t="n">
        <x:f>D750/F750*10000</x:f>
        <x:v>37.94983681125272</x:v>
      </x:c>
      <x:c r="H750" s="127" t="n">
        <x:f>1+COUNTIFS($C$4:$C$802,C750,$G$4:$G$802,"&gt;"&amp;G750)</x:f>
        <x:v>31</x:v>
      </x:c>
      <x:c r="I750" s="128" t="n">
        <x:f>D750/SUMIF($C$4:$C$802,C750,$D$4:$D$802)</x:f>
        <x:v>0.009782783219028833</x:v>
      </x:c>
      <x:c r="J750" s="103" t="n">
        <x:f>(D750/SUMIF($A$4:$A$802,A750,$D$4:$D$802))/(SUMIF($C$4:$C$802,C750,$D$4:$D$802)/SUM($D$4:$D$802))</x:f>
        <x:v>1.1934123789163453</x:v>
      </x:c>
    </x:row>
    <x:row r="751">
      <x:c r="A751" s="101" t="str">
        <x:v>大分県</x:v>
      </x:c>
      <x:c r="B751" s="101" t="str">
        <x:v>R</x:v>
      </x:c>
      <x:c r="C751" s="101" t="str">
        <x:v>サービス業（他に分類されないもの）</x:v>
      </x:c>
      <x:c r="D751" s="102" t="n">
        <x:v>35768</x:v>
      </x:c>
      <x:c r="E751" s="102" t="n">
        <x:f>1+COUNTIFS($C$4:$C$802,C751,$D$4:$D$802,"&gt;"&amp;D751)</x:f>
        <x:v>34</x:v>
      </x:c>
      <x:c r="F751" s="102" t="n">
        <x:v>1123852</x:v>
      </x:c>
      <x:c r="G751" s="126" t="n">
        <x:f>D751/F751*10000</x:f>
        <x:v>318.26254702576495</x:v>
      </x:c>
      <x:c r="H751" s="127" t="n">
        <x:f>1+COUNTIFS($C$4:$C$802,C751,$G$4:$G$802,"&gt;"&amp;G751)</x:f>
        <x:v>32</x:v>
      </x:c>
      <x:c r="I751" s="128" t="n">
        <x:f>D751/SUMIF($C$4:$C$802,C751,$D$4:$D$802)</x:f>
        <x:v>0.006833339160241306</x:v>
      </x:c>
      <x:c r="J751" s="103" t="n">
        <x:f>(D751/SUMIF($A$4:$A$802,A751,$D$4:$D$802))/(SUMIF($C$4:$C$802,C751,$D$4:$D$802)/SUM($D$4:$D$802))</x:f>
        <x:v>0.8336064860665869</x:v>
      </x:c>
    </x:row>
    <x:row r="752">
      <x:c r="A752" s="101" t="str">
        <x:v>宮崎県</x:v>
      </x:c>
      <x:c r="B752" s="101" t="str">
        <x:v>AB</x:v>
      </x:c>
      <x:c r="C752" s="101" t="str">
        <x:v>農林漁業</x:v>
      </x:c>
      <x:c r="D752" s="102" t="n">
        <x:v>13896</x:v>
      </x:c>
      <x:c r="E752" s="102" t="n">
        <x:f>1+COUNTIFS($C$4:$C$802,C752,$D$4:$D$802,"&gt;"&amp;D752)</x:f>
        <x:v>5</x:v>
      </x:c>
      <x:c r="F752" s="102" t="n">
        <x:v>1069576</x:v>
      </x:c>
      <x:c r="G752" s="126" t="n">
        <x:f>D752/F752*10000</x:f>
        <x:v>129.9206414504439</x:v>
      </x:c>
      <x:c r="H752" s="127" t="n">
        <x:f>1+COUNTIFS($C$4:$C$802,C752,$G$4:$G$802,"&gt;"&amp;G752)</x:f>
        <x:v>1</x:v>
      </x:c>
      <x:c r="I752" s="128" t="n">
        <x:f>D752/SUMIF($C$4:$C$802,C752,$D$4:$D$802)</x:f>
        <x:v>0.030627965871947067</x:v>
      </x:c>
      <x:c r="J752" s="103" t="n">
        <x:f>(D752/SUMIF($A$4:$A$802,A752,$D$4:$D$802))/(SUMIF($C$4:$C$802,C752,$D$4:$D$802)/SUM($D$4:$D$802))</x:f>
        <x:v>3.9786507127327844</x:v>
      </x:c>
    </x:row>
    <x:row r="753">
      <x:c r="A753" s="101" t="str">
        <x:v>宮崎県</x:v>
      </x:c>
      <x:c r="B753" s="101" t="str">
        <x:v>C</x:v>
      </x:c>
      <x:c r="C753" s="101" t="str">
        <x:v>鉱業，採石業，砂利採取業</x:v>
      </x:c>
      <x:c r="D753" s="102" t="n">
        <x:v>114</x:v>
      </x:c>
      <x:c r="E753" s="102" t="n">
        <x:f>1+COUNTIFS($C$4:$C$802,C753,$D$4:$D$802,"&gt;"&amp;D753)</x:f>
        <x:v>43</x:v>
      </x:c>
      <x:c r="F753" s="102" t="n">
        <x:v>1069576</x:v>
      </x:c>
      <x:c r="G753" s="126" t="n">
        <x:f>D753/F753*10000</x:f>
        <x:v>1.0658429134535554</x:v>
      </x:c>
      <x:c r="H753" s="127" t="n">
        <x:f>1+COUNTIFS($C$4:$C$802,C753,$G$4:$G$802,"&gt;"&amp;G753)</x:f>
        <x:v>36</x:v>
      </x:c>
      <x:c r="I753" s="128" t="n">
        <x:f>D753/SUMIF($C$4:$C$802,C753,$D$4:$D$802)</x:f>
        <x:v>0.005787683403563995</x:v>
      </x:c>
      <x:c r="J753" s="103" t="n">
        <x:f>(D753/SUMIF($A$4:$A$802,A753,$D$4:$D$802))/(SUMIF($C$4:$C$802,C753,$D$4:$D$802)/SUM($D$4:$D$802))</x:f>
        <x:v>0.7518348033603095</x:v>
      </x:c>
    </x:row>
    <x:row r="754">
      <x:c r="A754" s="101" t="str">
        <x:v>宮崎県</x:v>
      </x:c>
      <x:c r="B754" s="101" t="str">
        <x:v>D</x:v>
      </x:c>
      <x:c r="C754" s="101" t="str">
        <x:v>建設業</x:v>
      </x:c>
      <x:c r="D754" s="102" t="n">
        <x:v>34153</x:v>
      </x:c>
      <x:c r="E754" s="102" t="n">
        <x:f>1+COUNTIFS($C$4:$C$802,C754,$D$4:$D$802,"&gt;"&amp;D754)</x:f>
        <x:v>36</x:v>
      </x:c>
      <x:c r="F754" s="102" t="n">
        <x:v>1069576</x:v>
      </x:c>
      <x:c r="G754" s="126" t="n">
        <x:f>D754/F754*10000</x:f>
        <x:v>319.31344757174804</x:v>
      </x:c>
      <x:c r="H754" s="127" t="n">
        <x:f>1+COUNTIFS($C$4:$C$802,C754,$G$4:$G$802,"&gt;"&amp;G754)</x:f>
        <x:v>20</x:v>
      </x:c>
      <x:c r="I754" s="128" t="n">
        <x:f>D754/SUMIF($C$4:$C$802,C754,$D$4:$D$802)</x:f>
        <x:v>0.009138134245193536</x:v>
      </x:c>
      <x:c r="J754" s="103" t="n">
        <x:f>(D754/SUMIF($A$4:$A$802,A754,$D$4:$D$802))/(SUMIF($C$4:$C$802,C754,$D$4:$D$802)/SUM($D$4:$D$802))</x:f>
        <x:v>1.1870668943440295</x:v>
      </x:c>
    </x:row>
    <x:row r="755">
      <x:c r="A755" s="101" t="str">
        <x:v>宮崎県</x:v>
      </x:c>
      <x:c r="B755" s="101" t="str">
        <x:v>E</x:v>
      </x:c>
      <x:c r="C755" s="101" t="str">
        <x:v>製造業</x:v>
      </x:c>
      <x:c r="D755" s="102" t="n">
        <x:v>59990</x:v>
      </x:c>
      <x:c r="E755" s="102" t="n">
        <x:f>1+COUNTIFS($C$4:$C$802,C755,$D$4:$D$802,"&gt;"&amp;D755)</x:f>
        <x:v>42</x:v>
      </x:c>
      <x:c r="F755" s="102" t="n">
        <x:v>1069576</x:v>
      </x:c>
      <x:c r="G755" s="126" t="n">
        <x:f>D755/F755*10000</x:f>
        <x:v>560.8764594568315</x:v>
      </x:c>
      <x:c r="H755" s="127" t="n">
        <x:f>1+COUNTIFS($C$4:$C$802,C755,$G$4:$G$802,"&gt;"&amp;G755)</x:f>
        <x:v>35</x:v>
      </x:c>
      <x:c r="I755" s="128" t="n">
        <x:f>D755/SUMIF($C$4:$C$802,C755,$D$4:$D$802)</x:f>
        <x:v>0.006814224520462722</x:v>
      </x:c>
      <x:c r="J755" s="103" t="n">
        <x:f>(D755/SUMIF($A$4:$A$802,A755,$D$4:$D$802))/(SUMIF($C$4:$C$802,C755,$D$4:$D$802)/SUM($D$4:$D$802))</x:f>
        <x:v>0.8851851069186499</x:v>
      </x:c>
    </x:row>
    <x:row r="756">
      <x:c r="A756" s="101" t="str">
        <x:v>宮崎県</x:v>
      </x:c>
      <x:c r="B756" s="101" t="str">
        <x:v>F</x:v>
      </x:c>
      <x:c r="C756" s="101" t="str">
        <x:v>電気・ガス・熱供給・水道業</x:v>
      </x:c>
      <x:c r="D756" s="102" t="n">
        <x:v>1621</x:v>
      </x:c>
      <x:c r="E756" s="102" t="n">
        <x:f>1+COUNTIFS($C$4:$C$802,C756,$D$4:$D$802,"&gt;"&amp;D756)</x:f>
        <x:v>35</x:v>
      </x:c>
      <x:c r="F756" s="102" t="n">
        <x:v>1069576</x:v>
      </x:c>
      <x:c r="G756" s="126" t="n">
        <x:f>D756/F756*10000</x:f>
        <x:v>15.155538269370293</x:v>
      </x:c>
      <x:c r="H756" s="127" t="n">
        <x:f>1+COUNTIFS($C$4:$C$802,C756,$G$4:$G$802,"&gt;"&amp;G756)</x:f>
        <x:v>24</x:v>
      </x:c>
      <x:c r="I756" s="128" t="n">
        <x:f>D756/SUMIF($C$4:$C$802,C756,$D$4:$D$802)</x:f>
        <x:v>0.008018837590094436</x:v>
      </x:c>
      <x:c r="J756" s="103" t="n">
        <x:f>(D756/SUMIF($A$4:$A$802,A756,$D$4:$D$802))/(SUMIF($C$4:$C$802,C756,$D$4:$D$802)/SUM($D$4:$D$802))</x:f>
        <x:v>1.0416674103172976</x:v>
      </x:c>
    </x:row>
    <x:row r="757">
      <x:c r="A757" s="101" t="str">
        <x:v>宮崎県</x:v>
      </x:c>
      <x:c r="B757" s="101" t="str">
        <x:v>G</x:v>
      </x:c>
      <x:c r="C757" s="101" t="str">
        <x:v>情報通信業</x:v>
      </x:c>
      <x:c r="D757" s="102" t="n">
        <x:v>5534</x:v>
      </x:c>
      <x:c r="E757" s="102" t="n">
        <x:f>1+COUNTIFS($C$4:$C$802,C757,$D$4:$D$802,"&gt;"&amp;D757)</x:f>
        <x:v>32</x:v>
      </x:c>
      <x:c r="F757" s="102" t="n">
        <x:v>1069576</x:v>
      </x:c>
      <x:c r="G757" s="126" t="n">
        <x:f>D757/F757*10000</x:f>
        <x:v>51.74012879870155</x:v>
      </x:c>
      <x:c r="H757" s="127" t="n">
        <x:f>1+COUNTIFS($C$4:$C$802,C757,$G$4:$G$802,"&gt;"&amp;G757)</x:f>
        <x:v>25</x:v>
      </x:c>
      <x:c r="I757" s="128" t="n">
        <x:f>D757/SUMIF($C$4:$C$802,C757,$D$4:$D$802)</x:f>
        <x:v>0.0027853288565404645</x:v>
      </x:c>
      <x:c r="J757" s="103" t="n">
        <x:f>(D757/SUMIF($A$4:$A$802,A757,$D$4:$D$802))/(SUMIF($C$4:$C$802,C757,$D$4:$D$802)/SUM($D$4:$D$802))</x:f>
        <x:v>0.36182130692590525</x:v>
      </x:c>
    </x:row>
    <x:row r="758">
      <x:c r="A758" s="101" t="str">
        <x:v>宮崎県</x:v>
      </x:c>
      <x:c r="B758" s="101" t="str">
        <x:v>H</x:v>
      </x:c>
      <x:c r="C758" s="101" t="str">
        <x:v>運輸業，郵便業</x:v>
      </x:c>
      <x:c r="D758" s="102" t="n">
        <x:v>20321</x:v>
      </x:c>
      <x:c r="E758" s="102" t="n">
        <x:f>1+COUNTIFS($C$4:$C$802,C758,$D$4:$D$802,"&gt;"&amp;D758)</x:f>
        <x:v>38</x:v>
      </x:c>
      <x:c r="F758" s="102" t="n">
        <x:v>1069576</x:v>
      </x:c>
      <x:c r="G758" s="126" t="n">
        <x:f>D758/F758*10000</x:f>
        <x:v>189.99117407271666</x:v>
      </x:c>
      <x:c r="H758" s="127" t="n">
        <x:f>1+COUNTIFS($C$4:$C$802,C758,$G$4:$G$802,"&gt;"&amp;G758)</x:f>
        <x:v>40</x:v>
      </x:c>
      <x:c r="I758" s="128" t="n">
        <x:f>D758/SUMIF($C$4:$C$802,C758,$D$4:$D$802)</x:f>
        <x:v>0.006224396842131702</x:v>
      </x:c>
      <x:c r="J758" s="103" t="n">
        <x:f>(D758/SUMIF($A$4:$A$802,A758,$D$4:$D$802))/(SUMIF($C$4:$C$802,C758,$D$4:$D$802)/SUM($D$4:$D$802))</x:f>
        <x:v>0.8085649904344974</x:v>
      </x:c>
    </x:row>
    <x:row r="759">
      <x:c r="A759" s="101" t="str">
        <x:v>宮崎県</x:v>
      </x:c>
      <x:c r="B759" s="101" t="str">
        <x:v>I</x:v>
      </x:c>
      <x:c r="C759" s="101" t="str">
        <x:v>卸売業，小売業</x:v>
      </x:c>
      <x:c r="D759" s="102" t="n">
        <x:v>90051</x:v>
      </x:c>
      <x:c r="E759" s="102" t="n">
        <x:f>1+COUNTIFS($C$4:$C$802,C759,$D$4:$D$802,"&gt;"&amp;D759)</x:f>
        <x:v>37</x:v>
      </x:c>
      <x:c r="F759" s="102" t="n">
        <x:v>1069576</x:v>
      </x:c>
      <x:c r="G759" s="126" t="n">
        <x:f>D759/F759*10000</x:f>
        <x:v>841.9317561351414</x:v>
      </x:c>
      <x:c r="H759" s="127" t="n">
        <x:f>1+COUNTIFS($C$4:$C$802,C759,$G$4:$G$802,"&gt;"&amp;G759)</x:f>
        <x:v>29</x:v>
      </x:c>
      <x:c r="I759" s="128" t="n">
        <x:f>D759/SUMIF($C$4:$C$802,C759,$D$4:$D$802)</x:f>
        <x:v>0.0077550455893441944</x:v>
      </x:c>
      <x:c r="J759" s="103" t="n">
        <x:f>(D759/SUMIF($A$4:$A$802,A759,$D$4:$D$802))/(SUMIF($C$4:$C$802,C759,$D$4:$D$802)/SUM($D$4:$D$802))</x:f>
        <x:v>1.0074001580882015</x:v>
      </x:c>
    </x:row>
    <x:row r="760">
      <x:c r="A760" s="101" t="str">
        <x:v>宮崎県</x:v>
      </x:c>
      <x:c r="B760" s="101" t="str">
        <x:v>J</x:v>
      </x:c>
      <x:c r="C760" s="101" t="str">
        <x:v>金融業，保険業</x:v>
      </x:c>
      <x:c r="D760" s="102" t="n">
        <x:v>10185</x:v>
      </x:c>
      <x:c r="E760" s="102" t="n">
        <x:f>1+COUNTIFS($C$4:$C$802,C760,$D$4:$D$802,"&gt;"&amp;D760)</x:f>
        <x:v>37</x:v>
      </x:c>
      <x:c r="F760" s="102" t="n">
        <x:v>1069576</x:v>
      </x:c>
      <x:c r="G760" s="126" t="n">
        <x:f>D760/F760*10000</x:f>
        <x:v>95.22464976775844</x:v>
      </x:c>
      <x:c r="H760" s="127" t="n">
        <x:f>1+COUNTIFS($C$4:$C$802,C760,$G$4:$G$802,"&gt;"&amp;G760)</x:f>
        <x:v>28</x:v>
      </x:c>
      <x:c r="I760" s="128" t="n">
        <x:f>D760/SUMIF($C$4:$C$802,C760,$D$4:$D$802)</x:f>
        <x:v>0.006815280145820899</x:v>
      </x:c>
      <x:c r="J760" s="103" t="n">
        <x:f>(D760/SUMIF($A$4:$A$802,A760,$D$4:$D$802))/(SUMIF($C$4:$C$802,C760,$D$4:$D$802)/SUM($D$4:$D$802))</x:f>
        <x:v>0.8853222353391674</x:v>
      </x:c>
    </x:row>
    <x:row r="761">
      <x:c r="A761" s="101" t="str">
        <x:v>宮崎県</x:v>
      </x:c>
      <x:c r="B761" s="101" t="str">
        <x:v>K</x:v>
      </x:c>
      <x:c r="C761" s="101" t="str">
        <x:v>不動産業，物品賃貸業</x:v>
      </x:c>
      <x:c r="D761" s="102" t="n">
        <x:v>7239</x:v>
      </x:c>
      <x:c r="E761" s="102" t="n">
        <x:f>1+COUNTIFS($C$4:$C$802,C761,$D$4:$D$802,"&gt;"&amp;D761)</x:f>
        <x:v>39</x:v>
      </x:c>
      <x:c r="F761" s="102" t="n">
        <x:v>1069576</x:v>
      </x:c>
      <x:c r="G761" s="126" t="n">
        <x:f>D761/F761*10000</x:f>
        <x:v>67.68102500430078</x:v>
      </x:c>
      <x:c r="H761" s="127" t="n">
        <x:f>1+COUNTIFS($C$4:$C$802,C761,$G$4:$G$802,"&gt;"&amp;G761)</x:f>
        <x:v>45</x:v>
      </x:c>
      <x:c r="I761" s="128" t="n">
        <x:f>D761/SUMIF($C$4:$C$802,C761,$D$4:$D$802)</x:f>
        <x:v>0.004473660466536229</x:v>
      </x:c>
      <x:c r="J761" s="103" t="n">
        <x:f>(D761/SUMIF($A$4:$A$802,A761,$D$4:$D$802))/(SUMIF($C$4:$C$802,C761,$D$4:$D$802)/SUM($D$4:$D$802))</x:f>
        <x:v>0.5811398797466837</x:v>
      </x:c>
    </x:row>
    <x:row r="762">
      <x:c r="A762" s="101" t="str">
        <x:v>宮崎県</x:v>
      </x:c>
      <x:c r="B762" s="101" t="str">
        <x:v>L</x:v>
      </x:c>
      <x:c r="C762" s="101" t="str">
        <x:v>学術研究，専門・技術サービス業</x:v>
      </x:c>
      <x:c r="D762" s="102" t="n">
        <x:v>9904</x:v>
      </x:c>
      <x:c r="E762" s="102" t="n">
        <x:f>1+COUNTIFS($C$4:$C$802,C762,$D$4:$D$802,"&gt;"&amp;D762)</x:f>
        <x:v>37</x:v>
      </x:c>
      <x:c r="F762" s="102" t="n">
        <x:v>1069576</x:v>
      </x:c>
      <x:c r="G762" s="126" t="n">
        <x:f>D762/F762*10000</x:f>
        <x:v>92.59744048108783</x:v>
      </x:c>
      <x:c r="H762" s="127" t="n">
        <x:f>1+COUNTIFS($C$4:$C$802,C762,$G$4:$G$802,"&gt;"&amp;G762)</x:f>
        <x:v>38</x:v>
      </x:c>
      <x:c r="I762" s="128" t="n">
        <x:f>D762/SUMIF($C$4:$C$802,C762,$D$4:$D$802)</x:f>
        <x:v>0.004674079247918751</x:v>
      </x:c>
      <x:c r="J762" s="103" t="n">
        <x:f>(D762/SUMIF($A$4:$A$802,A762,$D$4:$D$802))/(SUMIF($C$4:$C$802,C762,$D$4:$D$802)/SUM($D$4:$D$802))</x:f>
        <x:v>0.6071747894996348</x:v>
      </x:c>
    </x:row>
    <x:row r="763">
      <x:c r="A763" s="101" t="str">
        <x:v>宮崎県</x:v>
      </x:c>
      <x:c r="B763" s="101" t="str">
        <x:v>M</x:v>
      </x:c>
      <x:c r="C763" s="101" t="str">
        <x:v>宿泊業，飲食サービス業</x:v>
      </x:c>
      <x:c r="D763" s="102" t="n">
        <x:v>35959</x:v>
      </x:c>
      <x:c r="E763" s="102" t="n">
        <x:f>1+COUNTIFS($C$4:$C$802,C763,$D$4:$D$802,"&gt;"&amp;D763)</x:f>
        <x:v>36</x:v>
      </x:c>
      <x:c r="F763" s="102" t="n">
        <x:v>1069576</x:v>
      </x:c>
      <x:c r="G763" s="126" t="n">
        <x:f>D763/F763*10000</x:f>
        <x:v>336.1986432006701</x:v>
      </x:c>
      <x:c r="H763" s="127" t="n">
        <x:f>1+COUNTIFS($C$4:$C$802,C763,$G$4:$G$802,"&gt;"&amp;G763)</x:f>
        <x:v>30</x:v>
      </x:c>
      <x:c r="I763" s="128" t="n">
        <x:f>D763/SUMIF($C$4:$C$802,C763,$D$4:$D$802)</x:f>
        <x:v>0.007685617855580318</x:v>
      </x:c>
      <x:c r="J763" s="103" t="n">
        <x:f>(D763/SUMIF($A$4:$A$802,A763,$D$4:$D$802))/(SUMIF($C$4:$C$802,C763,$D$4:$D$802)/SUM($D$4:$D$802))</x:f>
        <x:v>0.9983813187836929</x:v>
      </x:c>
    </x:row>
    <x:row r="764">
      <x:c r="A764" s="101" t="str">
        <x:v>宮崎県</x:v>
      </x:c>
      <x:c r="B764" s="101" t="str">
        <x:v>N</x:v>
      </x:c>
      <x:c r="C764" s="101" t="str">
        <x:v>生活関連サービス業，娯楽業</x:v>
      </x:c>
      <x:c r="D764" s="102" t="n">
        <x:v>18477</x:v>
      </x:c>
      <x:c r="E764" s="102" t="n">
        <x:f>1+COUNTIFS($C$4:$C$802,C764,$D$4:$D$802,"&gt;"&amp;D764)</x:f>
        <x:v>35</x:v>
      </x:c>
      <x:c r="F764" s="102" t="n">
        <x:v>1069576</x:v>
      </x:c>
      <x:c r="G764" s="126" t="n">
        <x:f>D764/F764*10000</x:f>
        <x:v>172.75069747264337</x:v>
      </x:c>
      <x:c r="H764" s="127" t="n">
        <x:f>1+COUNTIFS($C$4:$C$802,C764,$G$4:$G$802,"&gt;"&amp;G764)</x:f>
        <x:v>15</x:v>
      </x:c>
      <x:c r="I764" s="128" t="n">
        <x:f>D764/SUMIF($C$4:$C$802,C764,$D$4:$D$802)</x:f>
        <x:v>0.008490726006013402</x:v>
      </x:c>
      <x:c r="J764" s="103" t="n">
        <x:f>(D764/SUMIF($A$4:$A$802,A764,$D$4:$D$802))/(SUMIF($C$4:$C$802,C764,$D$4:$D$802)/SUM($D$4:$D$802))</x:f>
        <x:v>1.1029669164671974</x:v>
      </x:c>
    </x:row>
    <x:row r="765">
      <x:c r="A765" s="101" t="str">
        <x:v>宮崎県</x:v>
      </x:c>
      <x:c r="B765" s="101" t="str">
        <x:v>O</x:v>
      </x:c>
      <x:c r="C765" s="101" t="str">
        <x:v>教育，学習支援業</x:v>
      </x:c>
      <x:c r="D765" s="102" t="n">
        <x:v>15683</x:v>
      </x:c>
      <x:c r="E765" s="102" t="n">
        <x:f>1+COUNTIFS($C$4:$C$802,C765,$D$4:$D$802,"&gt;"&amp;D765)</x:f>
        <x:v>32</x:v>
      </x:c>
      <x:c r="F765" s="102" t="n">
        <x:v>1069576</x:v>
      </x:c>
      <x:c r="G765" s="126" t="n">
        <x:f>D765/F765*10000</x:f>
        <x:v>146.62819659379042</x:v>
      </x:c>
      <x:c r="H765" s="127" t="n">
        <x:f>1+COUNTIFS($C$4:$C$802,C765,$G$4:$G$802,"&gt;"&amp;G765)</x:f>
        <x:v>16</x:v>
      </x:c>
      <x:c r="I765" s="128" t="n">
        <x:f>D765/SUMIF($C$4:$C$802,C765,$D$4:$D$802)</x:f>
        <x:v>0.00803953793802743</x:v>
      </x:c>
      <x:c r="J765" s="103" t="n">
        <x:f>(D765/SUMIF($A$4:$A$802,A765,$D$4:$D$802))/(SUMIF($C$4:$C$802,C765,$D$4:$D$802)/SUM($D$4:$D$802))</x:f>
        <x:v>1.0443564381946877</x:v>
      </x:c>
    </x:row>
    <x:row r="766">
      <x:c r="A766" s="101" t="str">
        <x:v>宮崎県</x:v>
      </x:c>
      <x:c r="B766" s="101" t="str">
        <x:v>P</x:v>
      </x:c>
      <x:c r="C766" s="101" t="str">
        <x:v>医療，福祉</x:v>
      </x:c>
      <x:c r="D766" s="102" t="n">
        <x:v>83484</x:v>
      </x:c>
      <x:c r="E766" s="102" t="n">
        <x:f>1+COUNTIFS($C$4:$C$802,C766,$D$4:$D$802,"&gt;"&amp;D766)</x:f>
        <x:v>31</x:v>
      </x:c>
      <x:c r="F766" s="102" t="n">
        <x:v>1069576</x:v>
      </x:c>
      <x:c r="G766" s="126" t="n">
        <x:f>D766/F766*10000</x:f>
        <x:v>780.533594620672</x:v>
      </x:c>
      <x:c r="H766" s="127" t="n">
        <x:f>1+COUNTIFS($C$4:$C$802,C766,$G$4:$G$802,"&gt;"&amp;G766)</x:f>
        <x:v>9</x:v>
      </x:c>
      <x:c r="I766" s="128" t="n">
        <x:f>D766/SUMIF($C$4:$C$802,C766,$D$4:$D$802)</x:f>
        <x:v>0.010227876660755822</x:v>
      </x:c>
      <x:c r="J766" s="103" t="n">
        <x:f>(D766/SUMIF($A$4:$A$802,A766,$D$4:$D$802))/(SUMIF($C$4:$C$802,C766,$D$4:$D$802)/SUM($D$4:$D$802))</x:f>
        <x:v>1.3286272074415186</x:v>
      </x:c>
    </x:row>
    <x:row r="767">
      <x:c r="A767" s="101" t="str">
        <x:v>宮崎県</x:v>
      </x:c>
      <x:c r="B767" s="101" t="str">
        <x:v>Q</x:v>
      </x:c>
      <x:c r="C767" s="101" t="str">
        <x:v>複合サービス事業</x:v>
      </x:c>
      <x:c r="D767" s="102" t="n">
        <x:v>4598</x:v>
      </x:c>
      <x:c r="E767" s="102" t="n">
        <x:f>1+COUNTIFS($C$4:$C$802,C767,$D$4:$D$802,"&gt;"&amp;D767)</x:f>
        <x:v>37</x:v>
      </x:c>
      <x:c r="F767" s="102" t="n">
        <x:v>1069576</x:v>
      </x:c>
      <x:c r="G767" s="126" t="n">
        <x:f>D767/F767*10000</x:f>
        <x:v>42.988997509293405</x:v>
      </x:c>
      <x:c r="H767" s="127" t="n">
        <x:f>1+COUNTIFS($C$4:$C$802,C767,$G$4:$G$802,"&gt;"&amp;G767)</x:f>
        <x:v>26</x:v>
      </x:c>
      <x:c r="I767" s="128" t="n">
        <x:f>D767/SUMIF($C$4:$C$802,C767,$D$4:$D$802)</x:f>
        <x:v>0.01054659724292956</x:v>
      </x:c>
      <x:c r="J767" s="103" t="n">
        <x:f>(D767/SUMIF($A$4:$A$802,A767,$D$4:$D$802))/(SUMIF($C$4:$C$802,C767,$D$4:$D$802)/SUM($D$4:$D$802))</x:f>
        <x:v>1.3700298221868097</x:v>
      </x:c>
    </x:row>
    <x:row r="768">
      <x:c r="A768" s="101" t="str">
        <x:v>宮崎県</x:v>
      </x:c>
      <x:c r="B768" s="101" t="str">
        <x:v>R</x:v>
      </x:c>
      <x:c r="C768" s="101" t="str">
        <x:v>サービス業（他に分類されないもの）</x:v>
      </x:c>
      <x:c r="D768" s="102" t="n">
        <x:v>34894</x:v>
      </x:c>
      <x:c r="E768" s="102" t="n">
        <x:f>1+COUNTIFS($C$4:$C$802,C768,$D$4:$D$802,"&gt;"&amp;D768)</x:f>
        <x:v>35</x:v>
      </x:c>
      <x:c r="F768" s="102" t="n">
        <x:v>1069576</x:v>
      </x:c>
      <x:c r="G768" s="126" t="n">
        <x:f>D768/F768*10000</x:f>
        <x:v>326.2414265091962</x:v>
      </x:c>
      <x:c r="H768" s="127" t="n">
        <x:f>1+COUNTIFS($C$4:$C$802,C768,$G$4:$G$802,"&gt;"&amp;G768)</x:f>
        <x:v>27</x:v>
      </x:c>
      <x:c r="I768" s="128" t="n">
        <x:f>D768/SUMIF($C$4:$C$802,C768,$D$4:$D$802)</x:f>
        <x:v>0.006666364813729036</x:v>
      </x:c>
      <x:c r="J768" s="103" t="n">
        <x:f>(D768/SUMIF($A$4:$A$802,A768,$D$4:$D$802))/(SUMIF($C$4:$C$802,C768,$D$4:$D$802)/SUM($D$4:$D$802))</x:f>
        <x:v>0.8659777547216415</x:v>
      </x:c>
    </x:row>
    <x:row r="769">
      <x:c r="A769" s="101" t="str">
        <x:v>鹿児島県</x:v>
      </x:c>
      <x:c r="B769" s="101" t="str">
        <x:v>AB</x:v>
      </x:c>
      <x:c r="C769" s="101" t="str">
        <x:v>農林漁業</x:v>
      </x:c>
      <x:c r="D769" s="102" t="n">
        <x:v>16612</x:v>
      </x:c>
      <x:c r="E769" s="102" t="n">
        <x:f>1+COUNTIFS($C$4:$C$802,C769,$D$4:$D$802,"&gt;"&amp;D769)</x:f>
        <x:v>3</x:v>
      </x:c>
      <x:c r="F769" s="102" t="n">
        <x:v>1588256</x:v>
      </x:c>
      <x:c r="G769" s="126" t="n">
        <x:f>D769/F769*10000</x:f>
        <x:v>104.59271049503356</x:v>
      </x:c>
      <x:c r="H769" s="127" t="n">
        <x:f>1+COUNTIFS($C$4:$C$802,C769,$G$4:$G$802,"&gt;"&amp;G769)</x:f>
        <x:v>5</x:v>
      </x:c>
      <x:c r="I769" s="128" t="n">
        <x:f>D769/SUMIF($C$4:$C$802,C769,$D$4:$D$802)</x:f>
        <x:v>0.036614260871098495</x:v>
      </x:c>
      <x:c r="J769" s="103" t="n">
        <x:f>(D769/SUMIF($A$4:$A$802,A769,$D$4:$D$802))/(SUMIF($C$4:$C$802,C769,$D$4:$D$802)/SUM($D$4:$D$802))</x:f>
        <x:v>3.215077036428437</x:v>
      </x:c>
    </x:row>
    <x:row r="770">
      <x:c r="A770" s="101" t="str">
        <x:v>鹿児島県</x:v>
      </x:c>
      <x:c r="B770" s="101" t="str">
        <x:v>C</x:v>
      </x:c>
      <x:c r="C770" s="101" t="str">
        <x:v>鉱業，採石業，砂利採取業</x:v>
      </x:c>
      <x:c r="D770" s="102" t="n">
        <x:v>621</x:v>
      </x:c>
      <x:c r="E770" s="102" t="n">
        <x:f>1+COUNTIFS($C$4:$C$802,C770,$D$4:$D$802,"&gt;"&amp;D770)</x:f>
        <x:v>7</x:v>
      </x:c>
      <x:c r="F770" s="102" t="n">
        <x:v>1588256</x:v>
      </x:c>
      <x:c r="G770" s="126" t="n">
        <x:f>D770/F770*10000</x:f>
        <x:v>3.909949025849737</x:v>
      </x:c>
      <x:c r="H770" s="127" t="n">
        <x:f>1+COUNTIFS($C$4:$C$802,C770,$G$4:$G$802,"&gt;"&amp;G770)</x:f>
        <x:v>7</x:v>
      </x:c>
      <x:c r="I770" s="128" t="n">
        <x:f>D770/SUMIF($C$4:$C$802,C770,$D$4:$D$802)</x:f>
        <x:v>0.03152764380362492</x:v>
      </x:c>
      <x:c r="J770" s="103" t="n">
        <x:f>(D770/SUMIF($A$4:$A$802,A770,$D$4:$D$802))/(SUMIF($C$4:$C$802,C770,$D$4:$D$802)/SUM($D$4:$D$802))</x:f>
        <x:v>2.7684241384138226</x:v>
      </x:c>
    </x:row>
    <x:row r="771">
      <x:c r="A771" s="101" t="str">
        <x:v>鹿児島県</x:v>
      </x:c>
      <x:c r="B771" s="101" t="str">
        <x:v>D</x:v>
      </x:c>
      <x:c r="C771" s="101" t="str">
        <x:v>建設業</x:v>
      </x:c>
      <x:c r="D771" s="102" t="n">
        <x:v>50967</x:v>
      </x:c>
      <x:c r="E771" s="102" t="n">
        <x:f>1+COUNTIFS($C$4:$C$802,C771,$D$4:$D$802,"&gt;"&amp;D771)</x:f>
        <x:v>23</x:v>
      </x:c>
      <x:c r="F771" s="102" t="n">
        <x:v>1588256</x:v>
      </x:c>
      <x:c r="G771" s="126" t="n">
        <x:f>D771/F771*10000</x:f>
        <x:v>320.8991497592328</x:v>
      </x:c>
      <x:c r="H771" s="127" t="n">
        <x:f>1+COUNTIFS($C$4:$C$802,C771,$G$4:$G$802,"&gt;"&amp;G771)</x:f>
        <x:v>18</x:v>
      </x:c>
      <x:c r="I771" s="128" t="n">
        <x:f>D771/SUMIF($C$4:$C$802,C771,$D$4:$D$802)</x:f>
        <x:v>0.013636965656744033</x:v>
      </x:c>
      <x:c r="J771" s="103" t="n">
        <x:f>(D771/SUMIF($A$4:$A$802,A771,$D$4:$D$802))/(SUMIF($C$4:$C$802,C771,$D$4:$D$802)/SUM($D$4:$D$802))</x:f>
        <x:v>1.1974540544165184</x:v>
      </x:c>
    </x:row>
    <x:row r="772">
      <x:c r="A772" s="101" t="str">
        <x:v>鹿児島県</x:v>
      </x:c>
      <x:c r="B772" s="101" t="str">
        <x:v>E</x:v>
      </x:c>
      <x:c r="C772" s="101" t="str">
        <x:v>製造業</x:v>
      </x:c>
      <x:c r="D772" s="102" t="n">
        <x:v>82126</x:v>
      </x:c>
      <x:c r="E772" s="102" t="n">
        <x:f>1+COUNTIFS($C$4:$C$802,C772,$D$4:$D$802,"&gt;"&amp;D772)</x:f>
        <x:v>31</x:v>
      </x:c>
      <x:c r="F772" s="102" t="n">
        <x:v>1588256</x:v>
      </x:c>
      <x:c r="G772" s="126" t="n">
        <x:f>D772/F772*10000</x:f>
        <x:v>517.0828884008623</x:v>
      </x:c>
      <x:c r="H772" s="127" t="n">
        <x:f>1+COUNTIFS($C$4:$C$802,C772,$G$4:$G$802,"&gt;"&amp;G772)</x:f>
        <x:v>38</x:v>
      </x:c>
      <x:c r="I772" s="128" t="n">
        <x:f>D772/SUMIF($C$4:$C$802,C772,$D$4:$D$802)</x:f>
        <x:v>0.009328638155817994</x:v>
      </x:c>
      <x:c r="J772" s="103" t="n">
        <x:f>(D772/SUMIF($A$4:$A$802,A772,$D$4:$D$802))/(SUMIF($C$4:$C$802,C772,$D$4:$D$802)/SUM($D$4:$D$802))</x:f>
        <x:v>0.8191423123768423</x:v>
      </x:c>
    </x:row>
    <x:row r="773">
      <x:c r="A773" s="101" t="str">
        <x:v>鹿児島県</x:v>
      </x:c>
      <x:c r="B773" s="101" t="str">
        <x:v>F</x:v>
      </x:c>
      <x:c r="C773" s="101" t="str">
        <x:v>電気・ガス・熱供給・水道業</x:v>
      </x:c>
      <x:c r="D773" s="102" t="n">
        <x:v>2981</x:v>
      </x:c>
      <x:c r="E773" s="102" t="n">
        <x:f>1+COUNTIFS($C$4:$C$802,C773,$D$4:$D$802,"&gt;"&amp;D773)</x:f>
        <x:v>20</x:v>
      </x:c>
      <x:c r="F773" s="102" t="n">
        <x:v>1588256</x:v>
      </x:c>
      <x:c r="G773" s="126" t="n">
        <x:f>D773/F773*10000</x:f>
        <x:v>18.7690145669212</x:v>
      </x:c>
      <x:c r="H773" s="127" t="n">
        <x:f>1+COUNTIFS($C$4:$C$802,C773,$G$4:$G$802,"&gt;"&amp;G773)</x:f>
        <x:v>13</x:v>
      </x:c>
      <x:c r="I773" s="128" t="n">
        <x:f>D773/SUMIF($C$4:$C$802,C773,$D$4:$D$802)</x:f>
        <x:v>0.01474654833810704</x:v>
      </x:c>
      <x:c r="J773" s="103" t="n">
        <x:f>(D773/SUMIF($A$4:$A$802,A773,$D$4:$D$802))/(SUMIF($C$4:$C$802,C773,$D$4:$D$802)/SUM($D$4:$D$802))</x:f>
        <x:v>1.2948858668851084</x:v>
      </x:c>
    </x:row>
    <x:row r="774">
      <x:c r="A774" s="101" t="str">
        <x:v>鹿児島県</x:v>
      </x:c>
      <x:c r="B774" s="101" t="str">
        <x:v>G</x:v>
      </x:c>
      <x:c r="C774" s="101" t="str">
        <x:v>情報通信業</x:v>
      </x:c>
      <x:c r="D774" s="102" t="n">
        <x:v>6584</x:v>
      </x:c>
      <x:c r="E774" s="102" t="n">
        <x:f>1+COUNTIFS($C$4:$C$802,C774,$D$4:$D$802,"&gt;"&amp;D774)</x:f>
        <x:v>27</x:v>
      </x:c>
      <x:c r="F774" s="102" t="n">
        <x:v>1588256</x:v>
      </x:c>
      <x:c r="G774" s="126" t="n">
        <x:f>D774/F774*10000</x:f>
        <x:v>41.45427437390446</x:v>
      </x:c>
      <x:c r="H774" s="127" t="n">
        <x:f>1+COUNTIFS($C$4:$C$802,C774,$G$4:$G$802,"&gt;"&amp;G774)</x:f>
        <x:v>35</x:v>
      </x:c>
      <x:c r="I774" s="128" t="n">
        <x:f>D774/SUMIF($C$4:$C$802,C774,$D$4:$D$802)</x:f>
        <x:v>0.0033138065036975818</x:v>
      </x:c>
      <x:c r="J774" s="103" t="n">
        <x:f>(D774/SUMIF($A$4:$A$802,A774,$D$4:$D$802))/(SUMIF($C$4:$C$802,C774,$D$4:$D$802)/SUM($D$4:$D$802))</x:f>
        <x:v>0.2909834293996404</x:v>
      </x:c>
    </x:row>
    <x:row r="775">
      <x:c r="A775" s="101" t="str">
        <x:v>鹿児島県</x:v>
      </x:c>
      <x:c r="B775" s="101" t="str">
        <x:v>H</x:v>
      </x:c>
      <x:c r="C775" s="101" t="str">
        <x:v>運輸業，郵便業</x:v>
      </x:c>
      <x:c r="D775" s="102" t="n">
        <x:v>32226</x:v>
      </x:c>
      <x:c r="E775" s="102" t="n">
        <x:f>1+COUNTIFS($C$4:$C$802,C775,$D$4:$D$802,"&gt;"&amp;D775)</x:f>
        <x:v>25</x:v>
      </x:c>
      <x:c r="F775" s="102" t="n">
        <x:v>1588256</x:v>
      </x:c>
      <x:c r="G775" s="126" t="n">
        <x:f>D775/F775*10000</x:f>
        <x:v>202.9017992061733</x:v>
      </x:c>
      <x:c r="H775" s="127" t="n">
        <x:f>1+COUNTIFS($C$4:$C$802,C775,$G$4:$G$802,"&gt;"&amp;G775)</x:f>
        <x:v>35</x:v>
      </x:c>
      <x:c r="I775" s="128" t="n">
        <x:f>D775/SUMIF($C$4:$C$802,C775,$D$4:$D$802)</x:f>
        <x:v>0.009870942012427353</x:v>
      </x:c>
      <x:c r="J775" s="103" t="n">
        <x:f>(D775/SUMIF($A$4:$A$802,A775,$D$4:$D$802))/(SUMIF($C$4:$C$802,C775,$D$4:$D$802)/SUM($D$4:$D$802))</x:f>
        <x:v>0.8667616998687692</x:v>
      </x:c>
    </x:row>
    <x:row r="776">
      <x:c r="A776" s="101" t="str">
        <x:v>鹿児島県</x:v>
      </x:c>
      <x:c r="B776" s="101" t="str">
        <x:v>I</x:v>
      </x:c>
      <x:c r="C776" s="101" t="str">
        <x:v>卸売業，小売業</x:v>
      </x:c>
      <x:c r="D776" s="102" t="n">
        <x:v>133323</x:v>
      </x:c>
      <x:c r="E776" s="102" t="n">
        <x:f>1+COUNTIFS($C$4:$C$802,C776,$D$4:$D$802,"&gt;"&amp;D776)</x:f>
        <x:v>24</x:v>
      </x:c>
      <x:c r="F776" s="102" t="n">
        <x:v>1588256</x:v>
      </x:c>
      <x:c r="G776" s="126" t="n">
        <x:f>D776/F776*10000</x:f>
        <x:v>839.4301674289284</x:v>
      </x:c>
      <x:c r="H776" s="127" t="n">
        <x:f>1+COUNTIFS($C$4:$C$802,C776,$G$4:$G$802,"&gt;"&amp;G776)</x:f>
        <x:v>32</x:v>
      </x:c>
      <x:c r="I776" s="128" t="n">
        <x:f>D776/SUMIF($C$4:$C$802,C776,$D$4:$D$802)</x:f>
        <x:v>0.011481559817305038</x:v>
      </x:c>
      <x:c r="J776" s="103" t="n">
        <x:f>(D776/SUMIF($A$4:$A$802,A776,$D$4:$D$802))/(SUMIF($C$4:$C$802,C776,$D$4:$D$802)/SUM($D$4:$D$802))</x:f>
        <x:v>1.008189116283243</x:v>
      </x:c>
    </x:row>
    <x:row r="777">
      <x:c r="A777" s="101" t="str">
        <x:v>鹿児島県</x:v>
      </x:c>
      <x:c r="B777" s="101" t="str">
        <x:v>J</x:v>
      </x:c>
      <x:c r="C777" s="101" t="str">
        <x:v>金融業，保険業</x:v>
      </x:c>
      <x:c r="D777" s="102" t="n">
        <x:v>13399</x:v>
      </x:c>
      <x:c r="E777" s="102" t="n">
        <x:f>1+COUNTIFS($C$4:$C$802,C777,$D$4:$D$802,"&gt;"&amp;D777)</x:f>
        <x:v>26</x:v>
      </x:c>
      <x:c r="F777" s="102" t="n">
        <x:v>1588256</x:v>
      </x:c>
      <x:c r="G777" s="126" t="n">
        <x:f>D777/F777*10000</x:f>
        <x:v>84.36297423085448</x:v>
      </x:c>
      <x:c r="H777" s="127" t="n">
        <x:f>1+COUNTIFS($C$4:$C$802,C777,$G$4:$G$802,"&gt;"&amp;G777)</x:f>
        <x:v>41</x:v>
      </x:c>
      <x:c r="I777" s="128" t="n">
        <x:f>D777/SUMIF($C$4:$C$802,C777,$D$4:$D$802)</x:f>
        <x:v>0.008965924268419658</x:v>
      </x:c>
      <x:c r="J777" s="103" t="n">
        <x:f>(D777/SUMIF($A$4:$A$802,A777,$D$4:$D$802))/(SUMIF($C$4:$C$802,C777,$D$4:$D$802)/SUM($D$4:$D$802))</x:f>
        <x:v>0.7872926160447614</x:v>
      </x:c>
    </x:row>
    <x:row r="778">
      <x:c r="A778" s="101" t="str">
        <x:v>鹿児島県</x:v>
      </x:c>
      <x:c r="B778" s="101" t="str">
        <x:v>K</x:v>
      </x:c>
      <x:c r="C778" s="101" t="str">
        <x:v>不動産業，物品賃貸業</x:v>
      </x:c>
      <x:c r="D778" s="102" t="n">
        <x:v>11964</x:v>
      </x:c>
      <x:c r="E778" s="102" t="n">
        <x:f>1+COUNTIFS($C$4:$C$802,C778,$D$4:$D$802,"&gt;"&amp;D778)</x:f>
        <x:v>25</x:v>
      </x:c>
      <x:c r="F778" s="102" t="n">
        <x:v>1588256</x:v>
      </x:c>
      <x:c r="G778" s="126" t="n">
        <x:f>D778/F778*10000</x:f>
        <x:v>75.32790683617755</x:v>
      </x:c>
      <x:c r="H778" s="127" t="n">
        <x:f>1+COUNTIFS($C$4:$C$802,C778,$G$4:$G$802,"&gt;"&amp;G778)</x:f>
        <x:v>39</x:v>
      </x:c>
      <x:c r="I778" s="128" t="n">
        <x:f>D778/SUMIF($C$4:$C$802,C778,$D$4:$D$802)</x:f>
        <x:v>0.007393683357043713</x:v>
      </x:c>
      <x:c r="J778" s="103" t="n">
        <x:f>(D778/SUMIF($A$4:$A$802,A778,$D$4:$D$802))/(SUMIF($C$4:$C$802,C778,$D$4:$D$802)/SUM($D$4:$D$802))</x:f>
        <x:v>0.6492350524169185</x:v>
      </x:c>
    </x:row>
    <x:row r="779">
      <x:c r="A779" s="101" t="str">
        <x:v>鹿児島県</x:v>
      </x:c>
      <x:c r="B779" s="101" t="str">
        <x:v>L</x:v>
      </x:c>
      <x:c r="C779" s="101" t="str">
        <x:v>学術研究，専門・技術サービス業</x:v>
      </x:c>
      <x:c r="D779" s="102" t="n">
        <x:v>15563</x:v>
      </x:c>
      <x:c r="E779" s="102" t="n">
        <x:f>1+COUNTIFS($C$4:$C$802,C779,$D$4:$D$802,"&gt;"&amp;D779)</x:f>
        <x:v>25</x:v>
      </x:c>
      <x:c r="F779" s="102" t="n">
        <x:v>1588256</x:v>
      </x:c>
      <x:c r="G779" s="126" t="n">
        <x:f>D779/F779*10000</x:f>
        <x:v>97.98798178631152</x:v>
      </x:c>
      <x:c r="H779" s="127" t="n">
        <x:f>1+COUNTIFS($C$4:$C$802,C779,$G$4:$G$802,"&gt;"&amp;G779)</x:f>
        <x:v>34</x:v>
      </x:c>
      <x:c r="I779" s="128" t="n">
        <x:f>D779/SUMIF($C$4:$C$802,C779,$D$4:$D$802)</x:f>
        <x:v>0.0073447794159288695</x:v>
      </x:c>
      <x:c r="J779" s="103" t="n">
        <x:f>(D779/SUMIF($A$4:$A$802,A779,$D$4:$D$802))/(SUMIF($C$4:$C$802,C779,$D$4:$D$802)/SUM($D$4:$D$802))</x:f>
        <x:v>0.6449408256777058</x:v>
      </x:c>
    </x:row>
    <x:row r="780">
      <x:c r="A780" s="101" t="str">
        <x:v>鹿児島県</x:v>
      </x:c>
      <x:c r="B780" s="101" t="str">
        <x:v>M</x:v>
      </x:c>
      <x:c r="C780" s="101" t="str">
        <x:v>宿泊業，飲食サービス業</x:v>
      </x:c>
      <x:c r="D780" s="102" t="n">
        <x:v>55384</x:v>
      </x:c>
      <x:c r="E780" s="102" t="n">
        <x:f>1+COUNTIFS($C$4:$C$802,C780,$D$4:$D$802,"&gt;"&amp;D780)</x:f>
        <x:v>25</x:v>
      </x:c>
      <x:c r="F780" s="102" t="n">
        <x:v>1588256</x:v>
      </x:c>
      <x:c r="G780" s="126" t="n">
        <x:f>D780/F780*10000</x:f>
        <x:v>348.70952793504324</x:v>
      </x:c>
      <x:c r="H780" s="127" t="n">
        <x:f>1+COUNTIFS($C$4:$C$802,C780,$G$4:$G$802,"&gt;"&amp;G780)</x:f>
        <x:v>22</x:v>
      </x:c>
      <x:c r="I780" s="128" t="n">
        <x:f>D780/SUMIF($C$4:$C$802,C780,$D$4:$D$802)</x:f>
        <x:v>0.01183737754980562</x:v>
      </x:c>
      <x:c r="J780" s="103" t="n">
        <x:f>(D780/SUMIF($A$4:$A$802,A780,$D$4:$D$802))/(SUMIF($C$4:$C$802,C780,$D$4:$D$802)/SUM($D$4:$D$802))</x:f>
        <x:v>1.0394332652486988</x:v>
      </x:c>
    </x:row>
    <x:row r="781">
      <x:c r="A781" s="101" t="str">
        <x:v>鹿児島県</x:v>
      </x:c>
      <x:c r="B781" s="101" t="str">
        <x:v>N</x:v>
      </x:c>
      <x:c r="C781" s="101" t="str">
        <x:v>生活関連サービス業，娯楽業</x:v>
      </x:c>
      <x:c r="D781" s="102" t="n">
        <x:v>26773</x:v>
      </x:c>
      <x:c r="E781" s="102" t="n">
        <x:f>1+COUNTIFS($C$4:$C$802,C781,$D$4:$D$802,"&gt;"&amp;D781)</x:f>
        <x:v>24</x:v>
      </x:c>
      <x:c r="F781" s="102" t="n">
        <x:v>1588256</x:v>
      </x:c>
      <x:c r="G781" s="126" t="n">
        <x:f>D781/F781*10000</x:f>
        <x:v>168.56854310640097</x:v>
      </x:c>
      <x:c r="H781" s="127" t="n">
        <x:f>1+COUNTIFS($C$4:$C$802,C781,$G$4:$G$802,"&gt;"&amp;G781)</x:f>
        <x:v>22</x:v>
      </x:c>
      <x:c r="I781" s="128" t="n">
        <x:f>D781/SUMIF($C$4:$C$802,C781,$D$4:$D$802)</x:f>
        <x:v>0.012302982484115215</x:v>
      </x:c>
      <x:c r="J781" s="103" t="n">
        <x:f>(D781/SUMIF($A$4:$A$802,A781,$D$4:$D$802))/(SUMIF($C$4:$C$802,C781,$D$4:$D$802)/SUM($D$4:$D$802))</x:f>
        <x:v>1.0803177648052138</x:v>
      </x:c>
    </x:row>
    <x:row r="782">
      <x:c r="A782" s="101" t="str">
        <x:v>鹿児島県</x:v>
      </x:c>
      <x:c r="B782" s="101" t="str">
        <x:v>O</x:v>
      </x:c>
      <x:c r="C782" s="101" t="str">
        <x:v>教育，学習支援業</x:v>
      </x:c>
      <x:c r="D782" s="102" t="n">
        <x:v>21544</x:v>
      </x:c>
      <x:c r="E782" s="102" t="n">
        <x:f>1+COUNTIFS($C$4:$C$802,C782,$D$4:$D$802,"&gt;"&amp;D782)</x:f>
        <x:v>22</x:v>
      </x:c>
      <x:c r="F782" s="102" t="n">
        <x:v>1588256</x:v>
      </x:c>
      <x:c r="G782" s="126" t="n">
        <x:f>D782/F782*10000</x:f>
        <x:v>135.645638990188</x:v>
      </x:c>
      <x:c r="H782" s="127" t="n">
        <x:f>1+COUNTIFS($C$4:$C$802,C782,$G$4:$G$802,"&gt;"&amp;G782)</x:f>
        <x:v>21</x:v>
      </x:c>
      <x:c r="I782" s="128" t="n">
        <x:f>D782/SUMIF($C$4:$C$802,C782,$D$4:$D$802)</x:f>
        <x:v>0.011044048035252371</x:v>
      </x:c>
      <x:c r="J782" s="103" t="n">
        <x:f>(D782/SUMIF($A$4:$A$802,A782,$D$4:$D$802))/(SUMIF($C$4:$C$802,C782,$D$4:$D$802)/SUM($D$4:$D$802))</x:f>
        <x:v>0.9697714601520293</x:v>
      </x:c>
    </x:row>
    <x:row r="783">
      <x:c r="A783" s="101" t="str">
        <x:v>鹿児島県</x:v>
      </x:c>
      <x:c r="B783" s="101" t="str">
        <x:v>P</x:v>
      </x:c>
      <x:c r="C783" s="101" t="str">
        <x:v>医療，福祉</x:v>
      </x:c>
      <x:c r="D783" s="102" t="n">
        <x:v>140795</x:v>
      </x:c>
      <x:c r="E783" s="102" t="n">
        <x:f>1+COUNTIFS($C$4:$C$802,C783,$D$4:$D$802,"&gt;"&amp;D783)</x:f>
        <x:v>15</x:v>
      </x:c>
      <x:c r="F783" s="102" t="n">
        <x:v>1588256</x:v>
      </x:c>
      <x:c r="G783" s="126" t="n">
        <x:f>D783/F783*10000</x:f>
        <x:v>886.4754800233715</x:v>
      </x:c>
      <x:c r="H783" s="127" t="n">
        <x:f>1+COUNTIFS($C$4:$C$802,C783,$G$4:$G$802,"&gt;"&amp;G783)</x:f>
        <x:v>1</x:v>
      </x:c>
      <x:c r="I783" s="128" t="n">
        <x:f>D783/SUMIF($C$4:$C$802,C783,$D$4:$D$802)</x:f>
        <x:v>0.017249220143394136</x:v>
      </x:c>
      <x:c r="J783" s="103" t="n">
        <x:f>(D783/SUMIF($A$4:$A$802,A783,$D$4:$D$802))/(SUMIF($C$4:$C$802,C783,$D$4:$D$802)/SUM($D$4:$D$802))</x:f>
        <x:v>1.514644028308129</x:v>
      </x:c>
    </x:row>
    <x:row r="784">
      <x:c r="A784" s="101" t="str">
        <x:v>鹿児島県</x:v>
      </x:c>
      <x:c r="B784" s="101" t="str">
        <x:v>Q</x:v>
      </x:c>
      <x:c r="C784" s="101" t="str">
        <x:v>複合サービス事業</x:v>
      </x:c>
      <x:c r="D784" s="102" t="n">
        <x:v>9815</x:v>
      </x:c>
      <x:c r="E784" s="102" t="n">
        <x:f>1+COUNTIFS($C$4:$C$802,C784,$D$4:$D$802,"&gt;"&amp;D784)</x:f>
        <x:v>15</x:v>
      </x:c>
      <x:c r="F784" s="102" t="n">
        <x:v>1588256</x:v>
      </x:c>
      <x:c r="G784" s="126" t="n">
        <x:f>D784/F784*10000</x:f>
        <x:v>61.79734249390526</x:v>
      </x:c>
      <x:c r="H784" s="127" t="n">
        <x:f>1+COUNTIFS($C$4:$C$802,C784,$G$4:$G$802,"&gt;"&amp;G784)</x:f>
        <x:v>1</x:v>
      </x:c>
      <x:c r="I784" s="128" t="n">
        <x:f>D784/SUMIF($C$4:$C$802,C784,$D$4:$D$802)</x:f>
        <x:v>0.022513016950707617</x:v>
      </x:c>
      <x:c r="J784" s="103" t="n">
        <x:f>(D784/SUMIF($A$4:$A$802,A784,$D$4:$D$802))/(SUMIF($C$4:$C$802,C784,$D$4:$D$802)/SUM($D$4:$D$802))</x:f>
        <x:v>1.976854976637759</x:v>
      </x:c>
    </x:row>
    <x:row r="785">
      <x:c r="A785" s="101" t="str">
        <x:v>鹿児島県</x:v>
      </x:c>
      <x:c r="B785" s="101" t="str">
        <x:v>R</x:v>
      </x:c>
      <x:c r="C785" s="101" t="str">
        <x:v>サービス業（他に分類されないもの）</x:v>
      </x:c>
      <x:c r="D785" s="102" t="n">
        <x:v>39274</x:v>
      </x:c>
      <x:c r="E785" s="102" t="n">
        <x:f>1+COUNTIFS($C$4:$C$802,C785,$D$4:$D$802,"&gt;"&amp;D785)</x:f>
        <x:v>30</x:v>
      </x:c>
      <x:c r="F785" s="102" t="n">
        <x:v>1588256</x:v>
      </x:c>
      <x:c r="G785" s="126" t="n">
        <x:f>D785/F785*10000</x:f>
        <x:v>247.27751697459354</x:v>
      </x:c>
      <x:c r="H785" s="127" t="n">
        <x:f>1+COUNTIFS($C$4:$C$802,C785,$G$4:$G$802,"&gt;"&amp;G785)</x:f>
        <x:v>45</x:v>
      </x:c>
      <x:c r="I785" s="128" t="n">
        <x:f>D785/SUMIF($C$4:$C$802,C785,$D$4:$D$802)</x:f>
        <x:v>0.007503147007920965</x:v>
      </x:c>
      <x:c r="J785" s="103" t="n">
        <x:f>(D785/SUMIF($A$4:$A$802,A785,$D$4:$D$802))/(SUMIF($C$4:$C$802,C785,$D$4:$D$802)/SUM($D$4:$D$802))</x:f>
        <x:v>0.6588469921880931</x:v>
      </x:c>
    </x:row>
    <x:row r="786">
      <x:c r="A786" s="101" t="str">
        <x:v>沖縄県</x:v>
      </x:c>
      <x:c r="B786" s="101" t="str">
        <x:v>AB</x:v>
      </x:c>
      <x:c r="C786" s="101" t="str">
        <x:v>農林漁業</x:v>
      </x:c>
      <x:c r="D786" s="102" t="n">
        <x:v>3891</x:v>
      </x:c>
      <x:c r="E786" s="102" t="n">
        <x:f>1+COUNTIFS($C$4:$C$802,C786,$D$4:$D$802,"&gt;"&amp;D786)</x:f>
        <x:v>43</x:v>
      </x:c>
      <x:c r="F786" s="102" t="n">
        <x:v>1467480</x:v>
      </x:c>
      <x:c r="G786" s="126" t="n">
        <x:f>D786/F786*10000</x:f>
        <x:v>26.514841769564153</x:v>
      </x:c>
      <x:c r="H786" s="127" t="n">
        <x:f>1+COUNTIFS($C$4:$C$802,C786,$G$4:$G$802,"&gt;"&amp;G786)</x:f>
        <x:v>37</x:v>
      </x:c>
      <x:c r="I786" s="128" t="n">
        <x:f>D786/SUMIF($C$4:$C$802,C786,$D$4:$D$802)</x:f>
        <x:v>0.008576094934351327</x:v>
      </x:c>
      <x:c r="J786" s="103" t="n">
        <x:f>(D786/SUMIF($A$4:$A$802,A786,$D$4:$D$802))/(SUMIF($C$4:$C$802,C786,$D$4:$D$802)/SUM($D$4:$D$802))</x:f>
        <x:v>0.8507217202551732</x:v>
      </x:c>
    </x:row>
    <x:row r="787">
      <x:c r="A787" s="101" t="str">
        <x:v>沖縄県</x:v>
      </x:c>
      <x:c r="B787" s="101" t="str">
        <x:v>C</x:v>
      </x:c>
      <x:c r="C787" s="101" t="str">
        <x:v>鉱業，採石業，砂利採取業</x:v>
      </x:c>
      <x:c r="D787" s="102" t="n">
        <x:v>428</x:v>
      </x:c>
      <x:c r="E787" s="102" t="n">
        <x:f>1+COUNTIFS($C$4:$C$802,C787,$D$4:$D$802,"&gt;"&amp;D787)</x:f>
        <x:v>17</x:v>
      </x:c>
      <x:c r="F787" s="102" t="n">
        <x:v>1467480</x:v>
      </x:c>
      <x:c r="G787" s="126" t="n">
        <x:f>D787/F787*10000</x:f>
        <x:v>2.9165644506228365</x:v>
      </x:c>
      <x:c r="H787" s="127" t="n">
        <x:f>1+COUNTIFS($C$4:$C$802,C787,$G$4:$G$802,"&gt;"&amp;G787)</x:f>
        <x:v>14</x:v>
      </x:c>
      <x:c r="I787" s="128" t="n">
        <x:f>D787/SUMIF($C$4:$C$802,C787,$D$4:$D$802)</x:f>
        <x:v>0.0217291973396964</x:v>
      </x:c>
      <x:c r="J787" s="103" t="n">
        <x:f>(D787/SUMIF($A$4:$A$802,A787,$D$4:$D$802))/(SUMIF($C$4:$C$802,C787,$D$4:$D$802)/SUM($D$4:$D$802))</x:f>
        <x:v>2.1554682267505534</x:v>
      </x:c>
    </x:row>
    <x:row r="788">
      <x:c r="A788" s="101" t="str">
        <x:v>沖縄県</x:v>
      </x:c>
      <x:c r="B788" s="101" t="str">
        <x:v>D</x:v>
      </x:c>
      <x:c r="C788" s="101" t="str">
        <x:v>建設業</x:v>
      </x:c>
      <x:c r="D788" s="102" t="n">
        <x:v>45133</x:v>
      </x:c>
      <x:c r="E788" s="102" t="n">
        <x:f>1+COUNTIFS($C$4:$C$802,C788,$D$4:$D$802,"&gt;"&amp;D788)</x:f>
        <x:v>27</x:v>
      </x:c>
      <x:c r="F788" s="102" t="n">
        <x:v>1467480</x:v>
      </x:c>
      <x:c r="G788" s="126" t="n">
        <x:f>D788/F788*10000</x:f>
        <x:v>307.5544470793469</x:v>
      </x:c>
      <x:c r="H788" s="127" t="n">
        <x:f>1+COUNTIFS($C$4:$C$802,C788,$G$4:$G$802,"&gt;"&amp;G788)</x:f>
        <x:v>28</x:v>
      </x:c>
      <x:c r="I788" s="128" t="n">
        <x:f>D788/SUMIF($C$4:$C$802,C788,$D$4:$D$802)</x:f>
        <x:v>0.012075993701528998</x:v>
      </x:c>
      <x:c r="J788" s="103" t="n">
        <x:f>(D788/SUMIF($A$4:$A$802,A788,$D$4:$D$802))/(SUMIF($C$4:$C$802,C788,$D$4:$D$802)/SUM($D$4:$D$802))</x:f>
        <x:v>1.1979007012161105</x:v>
      </x:c>
    </x:row>
    <x:row r="789">
      <x:c r="A789" s="101" t="str">
        <x:v>沖縄県</x:v>
      </x:c>
      <x:c r="B789" s="101" t="str">
        <x:v>E</x:v>
      </x:c>
      <x:c r="C789" s="101" t="str">
        <x:v>製造業</x:v>
      </x:c>
      <x:c r="D789" s="102" t="n">
        <x:v>32208</x:v>
      </x:c>
      <x:c r="E789" s="102" t="n">
        <x:f>1+COUNTIFS($C$4:$C$802,C789,$D$4:$D$802,"&gt;"&amp;D789)</x:f>
        <x:v>46</x:v>
      </x:c>
      <x:c r="F789" s="102" t="n">
        <x:v>1467480</x:v>
      </x:c>
      <x:c r="G789" s="126" t="n">
        <x:f>D789/F789*10000</x:f>
        <x:v>219.47828931229046</x:v>
      </x:c>
      <x:c r="H789" s="127" t="n">
        <x:f>1+COUNTIFS($C$4:$C$802,C789,$G$4:$G$802,"&gt;"&amp;G789)</x:f>
        <x:v>47</x:v>
      </x:c>
      <x:c r="I789" s="128" t="n">
        <x:f>D789/SUMIF($C$4:$C$802,C789,$D$4:$D$802)</x:f>
        <x:v>0.00365848547016275</x:v>
      </x:c>
      <x:c r="J789" s="103" t="n">
        <x:f>(D789/SUMIF($A$4:$A$802,A789,$D$4:$D$802))/(SUMIF($C$4:$C$802,C789,$D$4:$D$802)/SUM($D$4:$D$802))</x:f>
        <x:v>0.36291028452110075</x:v>
      </x:c>
    </x:row>
    <x:row r="790">
      <x:c r="A790" s="101" t="str">
        <x:v>沖縄県</x:v>
      </x:c>
      <x:c r="B790" s="101" t="str">
        <x:v>F</x:v>
      </x:c>
      <x:c r="C790" s="101" t="str">
        <x:v>電気・ガス・熱供給・水道業</x:v>
      </x:c>
      <x:c r="D790" s="102" t="n">
        <x:v>2020</x:v>
      </x:c>
      <x:c r="E790" s="102" t="n">
        <x:f>1+COUNTIFS($C$4:$C$802,C790,$D$4:$D$802,"&gt;"&amp;D790)</x:f>
        <x:v>26</x:v>
      </x:c>
      <x:c r="F790" s="102" t="n">
        <x:v>1467480</x:v>
      </x:c>
      <x:c r="G790" s="126" t="n">
        <x:f>D790/F790*10000</x:f>
        <x:v>13.765093902472266</x:v>
      </x:c>
      <x:c r="H790" s="127" t="n">
        <x:f>1+COUNTIFS($C$4:$C$802,C790,$G$4:$G$802,"&gt;"&amp;G790)</x:f>
        <x:v>32</x:v>
      </x:c>
      <x:c r="I790" s="128" t="n">
        <x:f>D790/SUMIF($C$4:$C$802,C790,$D$4:$D$802)</x:f>
        <x:v>0.009992629199254015</x:v>
      </x:c>
      <x:c r="J790" s="103" t="n">
        <x:f>(D790/SUMIF($A$4:$A$802,A790,$D$4:$D$802))/(SUMIF($C$4:$C$802,C790,$D$4:$D$802)/SUM($D$4:$D$802))</x:f>
        <x:v>0.9912374766528212</x:v>
      </x:c>
    </x:row>
    <x:row r="791">
      <x:c r="A791" s="101" t="str">
        <x:v>沖縄県</x:v>
      </x:c>
      <x:c r="B791" s="101" t="str">
        <x:v>G</x:v>
      </x:c>
      <x:c r="C791" s="101" t="str">
        <x:v>情報通信業</x:v>
      </x:c>
      <x:c r="D791" s="102" t="n">
        <x:v>14136</x:v>
      </x:c>
      <x:c r="E791" s="102" t="n">
        <x:f>1+COUNTIFS($C$4:$C$802,C791,$D$4:$D$802,"&gt;"&amp;D791)</x:f>
        <x:v>15</x:v>
      </x:c>
      <x:c r="F791" s="102" t="n">
        <x:v>1467480</x:v>
      </x:c>
      <x:c r="G791" s="126" t="n">
        <x:f>D791/F791*10000</x:f>
        <x:v>96.3283997056178</x:v>
      </x:c>
      <x:c r="H791" s="127" t="n">
        <x:f>1+COUNTIFS($C$4:$C$802,C791,$G$4:$G$802,"&gt;"&amp;G791)</x:f>
        <x:v>6</x:v>
      </x:c>
      <x:c r="I791" s="128" t="n">
        <x:f>D791/SUMIF($C$4:$C$802,C791,$D$4:$D$802)</x:f>
        <x:v>0.007114819066869535</x:v>
      </x:c>
      <x:c r="J791" s="103" t="n">
        <x:f>(D791/SUMIF($A$4:$A$802,A791,$D$4:$D$802))/(SUMIF($C$4:$C$802,C791,$D$4:$D$802)/SUM($D$4:$D$802))</x:f>
        <x:v>0.7057677372049019</x:v>
      </x:c>
    </x:row>
    <x:row r="792">
      <x:c r="A792" s="101" t="str">
        <x:v>沖縄県</x:v>
      </x:c>
      <x:c r="B792" s="101" t="str">
        <x:v>H</x:v>
      </x:c>
      <x:c r="C792" s="101" t="str">
        <x:v>運輸業，郵便業</x:v>
      </x:c>
      <x:c r="D792" s="102" t="n">
        <x:v>28185</x:v>
      </x:c>
      <x:c r="E792" s="102" t="n">
        <x:f>1+COUNTIFS($C$4:$C$802,C792,$D$4:$D$802,"&gt;"&amp;D792)</x:f>
        <x:v>29</x:v>
      </x:c>
      <x:c r="F792" s="102" t="n">
        <x:v>1467480</x:v>
      </x:c>
      <x:c r="G792" s="126" t="n">
        <x:f>D792/F792*10000</x:f>
        <x:v>192.0639463570202</x:v>
      </x:c>
      <x:c r="H792" s="127" t="n">
        <x:f>1+COUNTIFS($C$4:$C$802,C792,$G$4:$G$802,"&gt;"&amp;G792)</x:f>
        <x:v>37</x:v>
      </x:c>
      <x:c r="I792" s="128" t="n">
        <x:f>D792/SUMIF($C$4:$C$802,C792,$D$4:$D$802)</x:f>
        <x:v>0.008633168889103982</x:v>
      </x:c>
      <x:c r="J792" s="103" t="n">
        <x:f>(D792/SUMIF($A$4:$A$802,A792,$D$4:$D$802))/(SUMIF($C$4:$C$802,C792,$D$4:$D$802)/SUM($D$4:$D$802))</x:f>
        <x:v>0.8563832775654199</x:v>
      </x:c>
    </x:row>
    <x:row r="793">
      <x:c r="A793" s="101" t="str">
        <x:v>沖縄県</x:v>
      </x:c>
      <x:c r="B793" s="101" t="str">
        <x:v>I</x:v>
      </x:c>
      <x:c r="C793" s="101" t="str">
        <x:v>卸売業，小売業</x:v>
      </x:c>
      <x:c r="D793" s="102" t="n">
        <x:v>120392</x:v>
      </x:c>
      <x:c r="E793" s="102" t="n">
        <x:f>1+COUNTIFS($C$4:$C$802,C793,$D$4:$D$802,"&gt;"&amp;D793)</x:f>
        <x:v>25</x:v>
      </x:c>
      <x:c r="F793" s="102" t="n">
        <x:v>1467480</x:v>
      </x:c>
      <x:c r="G793" s="126" t="n">
        <x:f>D793/F793*10000</x:f>
        <x:v>820.399596587347</x:v>
      </x:c>
      <x:c r="H793" s="127" t="n">
        <x:f>1+COUNTIFS($C$4:$C$802,C793,$G$4:$G$802,"&gt;"&amp;G793)</x:f>
        <x:v>37</x:v>
      </x:c>
      <x:c r="I793" s="128" t="n">
        <x:f>D793/SUMIF($C$4:$C$802,C793,$D$4:$D$802)</x:f>
        <x:v>0.010367963138580651</x:v>
      </x:c>
      <x:c r="J793" s="103" t="n">
        <x:f>(D793/SUMIF($A$4:$A$802,A793,$D$4:$D$802))/(SUMIF($C$4:$C$802,C793,$D$4:$D$802)/SUM($D$4:$D$802))</x:f>
        <x:v>1.0284694262730545</x:v>
      </x:c>
    </x:row>
    <x:row r="794">
      <x:c r="A794" s="101" t="str">
        <x:v>沖縄県</x:v>
      </x:c>
      <x:c r="B794" s="101" t="str">
        <x:v>J</x:v>
      </x:c>
      <x:c r="C794" s="101" t="str">
        <x:v>金融業，保険業</x:v>
      </x:c>
      <x:c r="D794" s="102" t="n">
        <x:v>12545</x:v>
      </x:c>
      <x:c r="E794" s="102" t="n">
        <x:f>1+COUNTIFS($C$4:$C$802,C794,$D$4:$D$802,"&gt;"&amp;D794)</x:f>
        <x:v>28</x:v>
      </x:c>
      <x:c r="F794" s="102" t="n">
        <x:v>1467480</x:v>
      </x:c>
      <x:c r="G794" s="126" t="n">
        <x:f>D794/F794*10000</x:f>
        <x:v>85.48668465669039</x:v>
      </x:c>
      <x:c r="H794" s="127" t="n">
        <x:f>1+COUNTIFS($C$4:$C$802,C794,$G$4:$G$802,"&gt;"&amp;G794)</x:f>
        <x:v>40</x:v>
      </x:c>
      <x:c r="I794" s="128" t="n">
        <x:f>D794/SUMIF($C$4:$C$802,C794,$D$4:$D$802)</x:f>
        <x:v>0.008394471225264917</x:v>
      </x:c>
      <x:c r="J794" s="103" t="n">
        <x:f>(D794/SUMIF($A$4:$A$802,A794,$D$4:$D$802))/(SUMIF($C$4:$C$802,C794,$D$4:$D$802)/SUM($D$4:$D$802))</x:f>
        <x:v>0.8327052179407894</x:v>
      </x:c>
    </x:row>
    <x:row r="795">
      <x:c r="A795" s="101" t="str">
        <x:v>沖縄県</x:v>
      </x:c>
      <x:c r="B795" s="101" t="str">
        <x:v>K</x:v>
      </x:c>
      <x:c r="C795" s="101" t="str">
        <x:v>不動産業，物品賃貸業</x:v>
      </x:c>
      <x:c r="D795" s="102" t="n">
        <x:v>20091</x:v>
      </x:c>
      <x:c r="E795" s="102" t="n">
        <x:f>1+COUNTIFS($C$4:$C$802,C795,$D$4:$D$802,"&gt;"&amp;D795)</x:f>
        <x:v>16</x:v>
      </x:c>
      <x:c r="F795" s="102" t="n">
        <x:v>1467480</x:v>
      </x:c>
      <x:c r="G795" s="126" t="n">
        <x:f>D795/F795*10000</x:f>
        <x:v>136.9081691062229</x:v>
      </x:c>
      <x:c r="H795" s="127" t="n">
        <x:f>1+COUNTIFS($C$4:$C$802,C795,$G$4:$G$802,"&gt;"&amp;G795)</x:f>
        <x:v>3</x:v>
      </x:c>
      <x:c r="I795" s="128" t="n">
        <x:f>D795/SUMIF($C$4:$C$802,C795,$D$4:$D$802)</x:f>
        <x:v>0.012416122728716587</x:v>
      </x:c>
      <x:c r="J795" s="103" t="n">
        <x:f>(D795/SUMIF($A$4:$A$802,A795,$D$4:$D$802))/(SUMIF($C$4:$C$802,C795,$D$4:$D$802)/SUM($D$4:$D$802))</x:f>
        <x:v>1.2316404339654228</x:v>
      </x:c>
    </x:row>
    <x:row r="796">
      <x:c r="A796" s="101" t="str">
        <x:v>沖縄県</x:v>
      </x:c>
      <x:c r="B796" s="101" t="str">
        <x:v>L</x:v>
      </x:c>
      <x:c r="C796" s="101" t="str">
        <x:v>学術研究，専門・技術サービス業</x:v>
      </x:c>
      <x:c r="D796" s="102" t="n">
        <x:v>19873</x:v>
      </x:c>
      <x:c r="E796" s="102" t="n">
        <x:f>1+COUNTIFS($C$4:$C$802,C796,$D$4:$D$802,"&gt;"&amp;D796)</x:f>
        <x:v>22</x:v>
      </x:c>
      <x:c r="F796" s="102" t="n">
        <x:v>1467480</x:v>
      </x:c>
      <x:c r="G796" s="126" t="n">
        <x:f>D796/F796*10000</x:f>
        <x:v>135.42262926922345</x:v>
      </x:c>
      <x:c r="H796" s="127" t="n">
        <x:f>1+COUNTIFS($C$4:$C$802,C796,$G$4:$G$802,"&gt;"&amp;G796)</x:f>
        <x:v>12</x:v>
      </x:c>
      <x:c r="I796" s="128" t="n">
        <x:f>D796/SUMIF($C$4:$C$802,C796,$D$4:$D$802)</x:f>
        <x:v>0.009378834500594643</x:v>
      </x:c>
      <x:c r="J796" s="103" t="n">
        <x:f>(D796/SUMIF($A$4:$A$802,A796,$D$4:$D$802))/(SUMIF($C$4:$C$802,C796,$D$4:$D$802)/SUM($D$4:$D$802))</x:f>
        <x:v>0.9303509675919811</x:v>
      </x:c>
    </x:row>
    <x:row r="797">
      <x:c r="A797" s="101" t="str">
        <x:v>沖縄県</x:v>
      </x:c>
      <x:c r="B797" s="101" t="str">
        <x:v>M</x:v>
      </x:c>
      <x:c r="C797" s="101" t="str">
        <x:v>宿泊業，飲食サービス業</x:v>
      </x:c>
      <x:c r="D797" s="102" t="n">
        <x:v>72285</x:v>
      </x:c>
      <x:c r="E797" s="102" t="n">
        <x:f>1+COUNTIFS($C$4:$C$802,C797,$D$4:$D$802,"&gt;"&amp;D797)</x:f>
        <x:v>18</x:v>
      </x:c>
      <x:c r="F797" s="102" t="n">
        <x:v>1467480</x:v>
      </x:c>
      <x:c r="G797" s="126" t="n">
        <x:f>D797/F797*10000</x:f>
        <x:v>492.5791152179246</x:v>
      </x:c>
      <x:c r="H797" s="127" t="n">
        <x:f>1+COUNTIFS($C$4:$C$802,C797,$G$4:$G$802,"&gt;"&amp;G797)</x:f>
        <x:v>2</x:v>
      </x:c>
      <x:c r="I797" s="128" t="n">
        <x:f>D797/SUMIF($C$4:$C$802,C797,$D$4:$D$802)</x:f>
        <x:v>0.015449675649785125</x:v>
      </x:c>
      <x:c r="J797" s="103" t="n">
        <x:f>(D797/SUMIF($A$4:$A$802,A797,$D$4:$D$802))/(SUMIF($C$4:$C$802,C797,$D$4:$D$802)/SUM($D$4:$D$802))</x:f>
        <x:v>1.5325593695942212</x:v>
      </x:c>
    </x:row>
    <x:row r="798">
      <x:c r="A798" s="101" t="str">
        <x:v>沖縄県</x:v>
      </x:c>
      <x:c r="B798" s="101" t="str">
        <x:v>N</x:v>
      </x:c>
      <x:c r="C798" s="101" t="str">
        <x:v>生活関連サービス業，娯楽業</x:v>
      </x:c>
      <x:c r="D798" s="102" t="n">
        <x:v>24890</x:v>
      </x:c>
      <x:c r="E798" s="102" t="n">
        <x:f>1+COUNTIFS($C$4:$C$802,C798,$D$4:$D$802,"&gt;"&amp;D798)</x:f>
        <x:v>25</x:v>
      </x:c>
      <x:c r="F798" s="102" t="n">
        <x:v>1467480</x:v>
      </x:c>
      <x:c r="G798" s="126" t="n">
        <x:f>D798/F798*10000</x:f>
        <x:v>169.61048872897757</x:v>
      </x:c>
      <x:c r="H798" s="127" t="n">
        <x:f>1+COUNTIFS($C$4:$C$802,C798,$G$4:$G$802,"&gt;"&amp;G798)</x:f>
        <x:v>21</x:v>
      </x:c>
      <x:c r="I798" s="128" t="n">
        <x:f>D798/SUMIF($C$4:$C$802,C798,$D$4:$D$802)</x:f>
        <x:v>0.011437688493244228</x:v>
      </x:c>
      <x:c r="J798" s="103" t="n">
        <x:f>(D798/SUMIF($A$4:$A$802,A798,$D$4:$D$802))/(SUMIF($C$4:$C$802,C798,$D$4:$D$802)/SUM($D$4:$D$802))</x:f>
        <x:v>1.1345828264728164</x:v>
      </x:c>
    </x:row>
    <x:row r="799">
      <x:c r="A799" s="101" t="str">
        <x:v>沖縄県</x:v>
      </x:c>
      <x:c r="B799" s="101" t="str">
        <x:v>O</x:v>
      </x:c>
      <x:c r="C799" s="101" t="str">
        <x:v>教育，学習支援業</x:v>
      </x:c>
      <x:c r="D799" s="102" t="n">
        <x:v>20238</x:v>
      </x:c>
      <x:c r="E799" s="102" t="n">
        <x:f>1+COUNTIFS($C$4:$C$802,C799,$D$4:$D$802,"&gt;"&amp;D799)</x:f>
        <x:v>23</x:v>
      </x:c>
      <x:c r="F799" s="102" t="n">
        <x:v>1467480</x:v>
      </x:c>
      <x:c r="G799" s="126" t="n">
        <x:f>D799/F799*10000</x:f>
        <x:v>137.90988633575927</x:v>
      </x:c>
      <x:c r="H799" s="127" t="n">
        <x:f>1+COUNTIFS($C$4:$C$802,C799,$G$4:$G$802,"&gt;"&amp;G799)</x:f>
        <x:v>18</x:v>
      </x:c>
      <x:c r="I799" s="128" t="n">
        <x:f>D799/SUMIF($C$4:$C$802,C799,$D$4:$D$802)</x:f>
        <x:v>0.010374556449008424</x:v>
      </x:c>
      <x:c r="J799" s="103" t="n">
        <x:f>(D799/SUMIF($A$4:$A$802,A799,$D$4:$D$802))/(SUMIF($C$4:$C$802,C799,$D$4:$D$802)/SUM($D$4:$D$802))</x:f>
        <x:v>1.02912346198887</x:v>
      </x:c>
    </x:row>
    <x:row r="800">
      <x:c r="A800" s="101" t="str">
        <x:v>沖縄県</x:v>
      </x:c>
      <x:c r="B800" s="101" t="str">
        <x:v>P</x:v>
      </x:c>
      <x:c r="C800" s="101" t="str">
        <x:v>医療，福祉</x:v>
      </x:c>
      <x:c r="D800" s="102" t="n">
        <x:v>111028</x:v>
      </x:c>
      <x:c r="E800" s="102" t="n">
        <x:f>1+COUNTIFS($C$4:$C$802,C800,$D$4:$D$802,"&gt;"&amp;D800)</x:f>
        <x:v>24</x:v>
      </x:c>
      <x:c r="F800" s="102" t="n">
        <x:v>1467480</x:v>
      </x:c>
      <x:c r="G800" s="126" t="n">
        <x:f>D800/F800*10000</x:f>
        <x:v>756.5895276255894</x:v>
      </x:c>
      <x:c r="H800" s="127" t="n">
        <x:f>1+COUNTIFS($C$4:$C$802,C800,$G$4:$G$802,"&gt;"&amp;G800)</x:f>
        <x:v>11</x:v>
      </x:c>
      <x:c r="I800" s="128" t="n">
        <x:f>D800/SUMIF($C$4:$C$802,C800,$D$4:$D$802)</x:f>
        <x:v>0.013602375184351461</x:v>
      </x:c>
      <x:c r="J800" s="103" t="n">
        <x:f>(D800/SUMIF($A$4:$A$802,A800,$D$4:$D$802))/(SUMIF($C$4:$C$802,C800,$D$4:$D$802)/SUM($D$4:$D$802))</x:f>
        <x:v>1.3493129571172382</x:v>
      </x:c>
    </x:row>
    <x:row r="801">
      <x:c r="A801" s="101" t="str">
        <x:v>沖縄県</x:v>
      </x:c>
      <x:c r="B801" s="101" t="str">
        <x:v>Q</x:v>
      </x:c>
      <x:c r="C801" s="101" t="str">
        <x:v>複合サービス事業</x:v>
      </x:c>
      <x:c r="D801" s="102" t="n">
        <x:v>5538</x:v>
      </x:c>
      <x:c r="E801" s="102" t="n">
        <x:f>1+COUNTIFS($C$4:$C$802,C801,$D$4:$D$802,"&gt;"&amp;D801)</x:f>
        <x:v>32</x:v>
      </x:c>
      <x:c r="F801" s="102" t="n">
        <x:v>1467480</x:v>
      </x:c>
      <x:c r="G801" s="126" t="n">
        <x:f>D801/F801*10000</x:f>
        <x:v>37.738163382124455</x:v>
      </x:c>
      <x:c r="H801" s="127" t="n">
        <x:f>1+COUNTIFS($C$4:$C$802,C801,$G$4:$G$802,"&gt;"&amp;G801)</x:f>
        <x:v>33</x:v>
      </x:c>
      <x:c r="I801" s="128" t="n">
        <x:f>D801/SUMIF($C$4:$C$802,C801,$D$4:$D$802)</x:f>
        <x:v>0.01270270890198867</x:v>
      </x:c>
      <x:c r="J801" s="103" t="n">
        <x:f>(D801/SUMIF($A$4:$A$802,A801,$D$4:$D$802))/(SUMIF($C$4:$C$802,C801,$D$4:$D$802)/SUM($D$4:$D$802))</x:f>
        <x:v>1.2600688835329314</x:v>
      </x:c>
    </x:row>
    <x:row r="802">
      <x:c r="A802" s="104" t="str">
        <x:v>沖縄県</x:v>
      </x:c>
      <x:c r="B802" s="104" t="str">
        <x:v>R</x:v>
      </x:c>
      <x:c r="C802" s="104" t="str">
        <x:v>サービス業（他に分類されないもの）</x:v>
      </x:c>
      <x:c r="D802" s="105" t="n">
        <x:v>51310</x:v>
      </x:c>
      <x:c r="E802" s="105" t="n">
        <x:f>1+COUNTIFS($C$4:$C$802,C802,$D$4:$D$802,"&gt;"&amp;D802)</x:f>
        <x:v>24</x:v>
      </x:c>
      <x:c r="F802" s="105" t="n">
        <x:v>1467480</x:v>
      </x:c>
      <x:c r="G802" s="129" t="n">
        <x:f>D802/F802*10000</x:f>
        <x:v>349.6470139286396</x:v>
      </x:c>
      <x:c r="H802" s="130" t="n">
        <x:f>1+COUNTIFS($C$4:$C$802,C802,$G$4:$G$802,"&gt;"&amp;G802)</x:f>
        <x:v>20</x:v>
      </x:c>
      <x:c r="I802" s="131" t="n">
        <x:f>D802/SUMIF($C$4:$C$802,C802,$D$4:$D$802)</x:f>
        <x:v>0.009802578626481253</x:v>
      </x:c>
      <x:c r="J802" s="106" t="n">
        <x:f>(D802/SUMIF($A$4:$A$802,A802,$D$4:$D$802))/(SUMIF($C$4:$C$802,C802,$D$4:$D$802)/SUM($D$4:$D$802))</x:f>
        <x:v>0.9723850558899493</x:v>
      </x:c>
    </x:row>
  </x:sheetData>
  <x:mergeCells>
    <x:mergeCell ref="A1:J1"/>
    <x:mergeCell ref="A2:P2"/>
  </x:mergeCells>
  <x:conditionalFormatting sqref="A4:J802">
    <x:cfRule type="expression" dxfId="1" priority="1">
      <x:formula>$A4="京都府"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e56f79a14943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34" customHeight="1">
      <x:c r="A1" s="83" t="str">
        <x:v>出典・定義</x:v>
      </x:c>
      <x:c r="B1" s="84"/>
    </x:row>
    <x:row r="2" ht="28" customHeight="1">
      <x:c r="A2" s="85" t="str">
        <x:v>数値の基礎、計算方法、利用上の注意を記載しています。</x:v>
      </x:c>
      <x:c r="B2" s="84"/>
    </x:row>
    <x:row r="3">
      <x:c r="A3" s="84"/>
      <x:c r="B3" s="84"/>
    </x:row>
    <x:row r="4" ht="34" customHeight="1">
      <x:c r="A4" s="86" t="str">
        <x:v>項目</x:v>
      </x:c>
      <x:c r="B4" s="88" t="str">
        <x:v>内容</x:v>
      </x:c>
    </x:row>
    <x:row r="5" ht="34" customHeight="1">
      <x:c r="A5" s="132" t="str">
        <x:v>産業データ</x:v>
      </x:c>
      <x:c r="B5" s="133" t="str">
        <x:v>令和3年経済センサス‐活動調査 事業所に関する集計 第10表（2021年6月1日現在）</x:v>
      </x:c>
    </x:row>
    <x:row r="6" ht="34" customHeight="1">
      <x:c r="A6" s="134" t="str">
        <x:v>対象</x:v>
      </x:c>
      <x:c r="B6" s="135" t="str">
        <x:v>民営事業所。産業大分類。経営組織・単独/本所/支所・従業者規模はいずれも総数。公務を除く。</x:v>
      </x:c>
    </x:row>
    <x:row r="7" ht="34" customHeight="1">
      <x:c r="A7" s="134" t="str">
        <x:v>e-Stat URL</x:v>
      </x:c>
      <x:c r="B7" s="135" t="str">
        <x:v>https://www.e-stat.go.jp/stat-search/file-download?fileKind=0&amp;statInfId=000040067890</x:v>
      </x:c>
    </x:row>
    <x:row r="8" ht="34" customHeight="1">
      <x:c r="A8" s="134" t="str">
        <x:v>人口データ</x:v>
      </x:c>
      <x:c r="B8" s="135" t="str">
        <x:v>令和2年国勢調査 都道府県別人口（2020年10月1日現在）</x:v>
      </x:c>
    </x:row>
    <x:row r="9" ht="34" customHeight="1">
      <x:c r="A9" s="134" t="str">
        <x:v>人口URL</x:v>
      </x:c>
      <x:c r="B9" s="135" t="str">
        <x:v>https://www.stat.go.jp/data/kokusei/2020/kekka.html</x:v>
      </x:c>
    </x:row>
    <x:row r="10" ht="34" customHeight="1">
      <x:c r="A10" s="134" t="str">
        <x:v>事業所人口比</x:v>
      </x:c>
      <x:c r="B10" s="135" t="str">
        <x:v>事業所数 ÷ 人口 × 100,000</x:v>
      </x:c>
    </x:row>
    <x:row r="11" ht="34" customHeight="1">
      <x:c r="A11" s="134" t="str">
        <x:v>従業者人口比</x:v>
      </x:c>
      <x:c r="B11" s="135" t="str">
        <x:v>従業者数 ÷ 人口 × 10,000</x:v>
      </x:c>
    </x:row>
    <x:row r="12" ht="34" customHeight="1">
      <x:c r="A12" s="134" t="str">
        <x:v>全国順位</x:v>
      </x:c>
      <x:c r="B12" s="135" t="str">
        <x:v>同一産業の47都道府県を降順。同値は同順位。</x:v>
      </x:c>
    </x:row>
    <x:row r="13" ht="34" customHeight="1">
      <x:c r="A13" s="134" t="str">
        <x:v>全国シェア</x:v>
      </x:c>
      <x:c r="B13" s="135" t="str">
        <x:v>都道府県の当該産業数 ÷ 47都道府県の当該産業合計</x:v>
      </x:c>
    </x:row>
    <x:row r="14" ht="34" customHeight="1">
      <x:c r="A14" s="136" t="str">
        <x:v>LQ</x:v>
      </x:c>
      <x:c r="B14" s="137" t="str">
        <x:v>（都道府県内の当該産業構成比）÷（全国の当該産業構成比）。1超は全国より特化。</x:v>
      </x:c>
    </x:row>
  </x:sheetData>
  <x:mergeCells>
    <x:mergeCell ref="A1:H1"/>
    <x:mergeCell ref="A2:P2"/>
  </x:mergeCells>
  <x:pageMargins left="0.7" right="0.7" top="0.75" bottom="0.75" header="0.3" footer="0.3"/>
</x:worksheet>
</file>